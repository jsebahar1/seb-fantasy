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rage Model" sheetId="1" r:id="rId5"/>
    <sheet state="visible" name="KenPom" sheetId="2" r:id="rId6"/>
    <sheet state="visible" name="Yahoo" sheetId="3" r:id="rId7"/>
    <sheet state="visible" name="Leverage Model Long Format" sheetId="4" r:id="rId8"/>
  </sheets>
  <definedNames/>
  <calcPr/>
</workbook>
</file>

<file path=xl/sharedStrings.xml><?xml version="1.0" encoding="utf-8"?>
<sst xmlns="http://schemas.openxmlformats.org/spreadsheetml/2006/main" count="1599" uniqueCount="91">
  <si>
    <t>Round of 32</t>
  </si>
  <si>
    <t>Sweet 16</t>
  </si>
  <si>
    <t>Elite 8</t>
  </si>
  <si>
    <t>Final 4</t>
  </si>
  <si>
    <t>Finals</t>
  </si>
  <si>
    <t>Champion</t>
  </si>
  <si>
    <t>Team</t>
  </si>
  <si>
    <t>Seed</t>
  </si>
  <si>
    <t>Region</t>
  </si>
  <si>
    <t>KenPom %</t>
  </si>
  <si>
    <t>Yahoo Pick %</t>
  </si>
  <si>
    <t>Leverage</t>
  </si>
  <si>
    <t>Effective Leverage</t>
  </si>
  <si>
    <t>Duke</t>
  </si>
  <si>
    <t>East</t>
  </si>
  <si>
    <t>Arizona</t>
  </si>
  <si>
    <t>West</t>
  </si>
  <si>
    <t>Michigan</t>
  </si>
  <si>
    <t>Midwest</t>
  </si>
  <si>
    <t>Florida</t>
  </si>
  <si>
    <t>South</t>
  </si>
  <si>
    <t>Uconn</t>
  </si>
  <si>
    <t>Purdue</t>
  </si>
  <si>
    <t>Iowa State</t>
  </si>
  <si>
    <t>Houston</t>
  </si>
  <si>
    <t>Michigan State</t>
  </si>
  <si>
    <t>Gonzaga</t>
  </si>
  <si>
    <t>Virginia</t>
  </si>
  <si>
    <t>Illinois</t>
  </si>
  <si>
    <t>Kansas</t>
  </si>
  <si>
    <t>Arkansas</t>
  </si>
  <si>
    <t>Alabama</t>
  </si>
  <si>
    <t>Nebraska</t>
  </si>
  <si>
    <t>St John's</t>
  </si>
  <si>
    <t>Wisconsin</t>
  </si>
  <si>
    <t>Texas Tech</t>
  </si>
  <si>
    <t>Vanderbilt</t>
  </si>
  <si>
    <t>Louisville</t>
  </si>
  <si>
    <t>BYU</t>
  </si>
  <si>
    <t>Tenneessee</t>
  </si>
  <si>
    <t>North Carolina</t>
  </si>
  <si>
    <t>UCLA</t>
  </si>
  <si>
    <t>Miami</t>
  </si>
  <si>
    <t>Kentucky</t>
  </si>
  <si>
    <t>Saint Mary's</t>
  </si>
  <si>
    <t>Ohio State</t>
  </si>
  <si>
    <t>Villanova</t>
  </si>
  <si>
    <t>Georgia</t>
  </si>
  <si>
    <t>Clemson</t>
  </si>
  <si>
    <t>TCU</t>
  </si>
  <si>
    <t>Utah State</t>
  </si>
  <si>
    <t>Saint Louis</t>
  </si>
  <si>
    <t>Iowa</t>
  </si>
  <si>
    <t>UCF</t>
  </si>
  <si>
    <t>Missouri</t>
  </si>
  <si>
    <t>Santa Clara</t>
  </si>
  <si>
    <t>Texas A&amp;M</t>
  </si>
  <si>
    <t>South Florida</t>
  </si>
  <si>
    <t>TEX/NCSU</t>
  </si>
  <si>
    <t>M-OH/SMU</t>
  </si>
  <si>
    <t>VCU</t>
  </si>
  <si>
    <t>Northern Iowa</t>
  </si>
  <si>
    <t>High Point</t>
  </si>
  <si>
    <t>Akron</t>
  </si>
  <si>
    <t>McNeese</t>
  </si>
  <si>
    <t>CA Baptist</t>
  </si>
  <si>
    <t>Hawai'i</t>
  </si>
  <si>
    <t>Hofstra</t>
  </si>
  <si>
    <t>Troy</t>
  </si>
  <si>
    <t>N Dakota State</t>
  </si>
  <si>
    <t>Kennesaw St</t>
  </si>
  <si>
    <t>Wright St</t>
  </si>
  <si>
    <t>Penn</t>
  </si>
  <si>
    <t>Furman</t>
  </si>
  <si>
    <t>Queens</t>
  </si>
  <si>
    <t>Tennessee St</t>
  </si>
  <si>
    <t>Idaho</t>
  </si>
  <si>
    <t>Siena</t>
  </si>
  <si>
    <t>Long Island</t>
  </si>
  <si>
    <t>UMBC/HOW</t>
  </si>
  <si>
    <t>PV/LEH</t>
  </si>
  <si>
    <t>Kenpom Link:</t>
  </si>
  <si>
    <t>https://kenpom.substack.com/p/the-2026-ncaa-tournament-odds</t>
  </si>
  <si>
    <t>Rd 2</t>
  </si>
  <si>
    <t>Final</t>
  </si>
  <si>
    <t>Champ</t>
  </si>
  <si>
    <t>Yahoo Link:</t>
  </si>
  <si>
    <t>https://tournament.fantasysports.yahoo.com/mens-basketball-bracket/pickdistribution</t>
  </si>
  <si>
    <t>Round</t>
  </si>
  <si>
    <t>Win %</t>
  </si>
  <si>
    <t>Pick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</si>
</sst>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u/>
      <color rgb="FF0000FF"/>
    </font>
    <font>
      <color rgb="FF000000"/>
      <name val="Helvetica Neue"/>
    </font>
    <font>
      <b/>
      <u/>
      <color rgb="FF0000FF"/>
    </font>
    <font>
      <b/>
      <color rgb="FF000000"/>
      <name val="Helvetica Neue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4" fontId="1" numFmtId="0" xfId="0" applyAlignment="1" applyFill="1" applyFont="1">
      <alignment horizontal="center" readingOrder="0"/>
    </xf>
    <xf borderId="0" fillId="4" fontId="3" numFmtId="0" xfId="0" applyAlignment="1" applyFont="1">
      <alignment horizontal="left"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3" fontId="1" numFmtId="0" xfId="0" applyAlignment="1" applyFont="1">
      <alignment readingOrder="0"/>
    </xf>
    <xf borderId="0" fillId="3" fontId="1" numFmtId="0" xfId="0" applyFont="1"/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 vertical="top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3" fontId="2" numFmtId="0" xfId="0" applyFont="1"/>
    <xf borderId="1" fillId="5" fontId="6" numFmtId="0" xfId="0" applyAlignment="1" applyBorder="1" applyFill="1" applyFont="1">
      <alignment readingOrder="0" vertical="top"/>
    </xf>
    <xf borderId="1" fillId="6" fontId="6" numFmtId="0" xfId="0" applyAlignment="1" applyBorder="1" applyFill="1" applyFont="1">
      <alignment readingOrder="0" vertical="top"/>
    </xf>
  </cellXfs>
  <cellStyles count="1">
    <cellStyle xfId="0" name="Normal" builtinId="0"/>
  </cellStyles>
  <dxfs count="4"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kenpom.substack.com/p/the-2026-ncaa-tournament-odd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tournament.fantasysports.yahoo.com/mens-basketball-bracket/pickdistribution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7" max="7" width="16.38"/>
    <col customWidth="1" min="11" max="11" width="17.5"/>
    <col customWidth="1" min="15" max="15" width="15.75"/>
    <col customWidth="1" min="19" max="19" width="18.38"/>
    <col customWidth="1" min="23" max="23" width="15.75"/>
    <col customWidth="1" min="27" max="27" width="16.88"/>
  </cols>
  <sheetData>
    <row r="1">
      <c r="A1" s="1"/>
      <c r="B1" s="1"/>
      <c r="C1" s="1"/>
      <c r="D1" s="1"/>
      <c r="E1" s="2" t="s">
        <v>0</v>
      </c>
      <c r="F1" s="1"/>
      <c r="G1" s="1"/>
      <c r="H1" s="1"/>
      <c r="I1" s="2" t="s">
        <v>1</v>
      </c>
      <c r="J1" s="1"/>
      <c r="K1" s="1"/>
      <c r="L1" s="1"/>
      <c r="M1" s="2" t="s">
        <v>2</v>
      </c>
      <c r="N1" s="1"/>
      <c r="O1" s="1"/>
      <c r="P1" s="1"/>
      <c r="Q1" s="2" t="s">
        <v>3</v>
      </c>
      <c r="R1" s="1"/>
      <c r="S1" s="1"/>
      <c r="T1" s="1"/>
      <c r="U1" s="2" t="s">
        <v>4</v>
      </c>
      <c r="V1" s="1"/>
      <c r="W1" s="1"/>
      <c r="X1" s="1"/>
      <c r="Y1" s="2" t="s">
        <v>5</v>
      </c>
      <c r="Z1" s="1"/>
      <c r="AA1" s="1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9</v>
      </c>
      <c r="Q2" s="3" t="s">
        <v>10</v>
      </c>
      <c r="R2" s="3" t="s">
        <v>11</v>
      </c>
      <c r="S2" s="3" t="s">
        <v>12</v>
      </c>
      <c r="T2" s="3" t="s">
        <v>9</v>
      </c>
      <c r="U2" s="3" t="s">
        <v>10</v>
      </c>
      <c r="V2" s="3" t="s">
        <v>11</v>
      </c>
      <c r="W2" s="3" t="s">
        <v>12</v>
      </c>
      <c r="X2" s="3" t="s">
        <v>9</v>
      </c>
      <c r="Y2" s="3" t="s">
        <v>10</v>
      </c>
      <c r="Z2" s="3" t="s">
        <v>11</v>
      </c>
      <c r="AA2" s="3" t="s">
        <v>12</v>
      </c>
    </row>
    <row r="3">
      <c r="A3" s="4" t="s">
        <v>13</v>
      </c>
      <c r="B3" s="4">
        <v>1.0</v>
      </c>
      <c r="C3" s="4" t="s">
        <v>14</v>
      </c>
      <c r="D3" s="5">
        <f>VLOOKUP(A3,KenPom!1:1000,4,FALSE)</f>
        <v>99.1</v>
      </c>
      <c r="E3" s="5">
        <f>VLOOKUP(A3,Yahoo!1:1000,4,FALSE)</f>
        <v>98.21</v>
      </c>
      <c r="F3" s="5">
        <f t="shared" ref="F3:F66" si="1">D3-E3</f>
        <v>0.89</v>
      </c>
      <c r="G3" s="5">
        <f t="shared" ref="G3:G66" si="2">Round(F3*(D3/100),2)</f>
        <v>0.88</v>
      </c>
      <c r="H3" s="5">
        <f>VLOOKUP(A3,KenPom!1:1000,5,FALSE)</f>
        <v>85.3</v>
      </c>
      <c r="I3" s="5">
        <f>VLOOKUP(A3,Yahoo!1:1000,5,FALSE)</f>
        <v>93.59</v>
      </c>
      <c r="J3" s="5">
        <f t="shared" ref="J3:J66" si="3">H3-I3</f>
        <v>-8.29</v>
      </c>
      <c r="K3" s="5">
        <f t="shared" ref="K3:K66" si="4">round(J3*(H3/100),2)</f>
        <v>-7.07</v>
      </c>
      <c r="L3" s="5">
        <f>VLOOKUP(A3,KenPom!1:1000,6,FALSE)</f>
        <v>69</v>
      </c>
      <c r="M3" s="5">
        <f>VLOOKUP(A3,Yahoo!1:1000,6,FALSE)</f>
        <v>78.77</v>
      </c>
      <c r="N3" s="5">
        <f t="shared" ref="N3:N66" si="5">L3-M3</f>
        <v>-9.77</v>
      </c>
      <c r="O3" s="5">
        <f t="shared" ref="O3:O66" si="6">round(N3*(L3/100),2)</f>
        <v>-6.74</v>
      </c>
      <c r="P3" s="5">
        <f>VLOOKUP(A3,KenPom!1:1000,7,FALSE)</f>
        <v>52.7</v>
      </c>
      <c r="Q3" s="5">
        <f>VLOOKUP(A3,Yahoo!1:1000,7,FALSE)</f>
        <v>64.67</v>
      </c>
      <c r="R3" s="5">
        <f t="shared" ref="R3:R66" si="7">P3-Q3</f>
        <v>-11.97</v>
      </c>
      <c r="S3" s="5">
        <f t="shared" ref="S3:S66" si="8">round(R3*(P3/100),2)</f>
        <v>-6.31</v>
      </c>
      <c r="T3" s="5">
        <f>VLOOKUP(A3,KenPom!1:1000,8,FALSE)</f>
        <v>33.3</v>
      </c>
      <c r="U3" s="5">
        <f>VLOOKUP(A3,Yahoo!1:1000,8,FALSE)</f>
        <v>49.51</v>
      </c>
      <c r="V3" s="5">
        <f t="shared" ref="V3:V66" si="9">T3-U3</f>
        <v>-16.21</v>
      </c>
      <c r="W3" s="5">
        <f t="shared" ref="W3:W66" si="10">round(V3*(T3/100),2)</f>
        <v>-5.4</v>
      </c>
      <c r="X3" s="5">
        <f>VLOOKUP(A3,KenPom!1:1000,9,FALSE)</f>
        <v>21</v>
      </c>
      <c r="Y3" s="5">
        <f>VLOOKUP(A3,Yahoo!1:1000,9,FALSE)</f>
        <v>30.24</v>
      </c>
      <c r="Z3" s="5">
        <f t="shared" ref="Z3:Z66" si="11">X3-Y3</f>
        <v>-9.24</v>
      </c>
      <c r="AA3" s="5">
        <f t="shared" ref="AA3:AA66" si="12">round(Z3*(X3/100),2)</f>
        <v>-1.94</v>
      </c>
    </row>
    <row r="4">
      <c r="A4" s="4" t="s">
        <v>15</v>
      </c>
      <c r="B4" s="4">
        <v>1.0</v>
      </c>
      <c r="C4" s="4" t="s">
        <v>16</v>
      </c>
      <c r="D4" s="5">
        <f>VLOOKUP(A4,KenPom!2:1001,4,FALSE)</f>
        <v>99.6</v>
      </c>
      <c r="E4" s="5">
        <f>VLOOKUP(A4,Yahoo!2:1001,4,FALSE)</f>
        <v>94.82</v>
      </c>
      <c r="F4" s="5">
        <f t="shared" si="1"/>
        <v>4.78</v>
      </c>
      <c r="G4" s="5">
        <f t="shared" si="2"/>
        <v>4.76</v>
      </c>
      <c r="H4" s="5">
        <f>VLOOKUP(A4,KenPom!2:1001,5,FALSE)</f>
        <v>85.7</v>
      </c>
      <c r="I4" s="5">
        <f>VLOOKUP(A4,Yahoo!2:1001,5,FALSE)</f>
        <v>89.38</v>
      </c>
      <c r="J4" s="5">
        <f t="shared" si="3"/>
        <v>-3.68</v>
      </c>
      <c r="K4" s="5">
        <f t="shared" si="4"/>
        <v>-3.15</v>
      </c>
      <c r="L4" s="5">
        <f>VLOOKUP(A4,KenPom!2:1001,6,FALSE)</f>
        <v>68.8</v>
      </c>
      <c r="M4" s="5">
        <f>VLOOKUP(A4,Yahoo!2:1001,6,FALSE)</f>
        <v>74.48</v>
      </c>
      <c r="N4" s="5">
        <f t="shared" si="5"/>
        <v>-5.68</v>
      </c>
      <c r="O4" s="5">
        <f t="shared" si="6"/>
        <v>-3.91</v>
      </c>
      <c r="P4" s="5">
        <f>VLOOKUP(A4,KenPom!2:1001,7,FALSE)</f>
        <v>49.7</v>
      </c>
      <c r="Q4" s="5">
        <f>VLOOKUP(A4,Yahoo!2:1001,7,FALSE)</f>
        <v>56.08</v>
      </c>
      <c r="R4" s="5">
        <f t="shared" si="7"/>
        <v>-6.38</v>
      </c>
      <c r="S4" s="5">
        <f t="shared" si="8"/>
        <v>-3.17</v>
      </c>
      <c r="T4" s="5">
        <f>VLOOKUP(A4,KenPom!2:1001,8,FALSE)</f>
        <v>32.1</v>
      </c>
      <c r="U4" s="5">
        <f>VLOOKUP(A4,Yahoo!2:1001,8,FALSE)</f>
        <v>38.93</v>
      </c>
      <c r="V4" s="5">
        <f t="shared" si="9"/>
        <v>-6.83</v>
      </c>
      <c r="W4" s="5">
        <f t="shared" si="10"/>
        <v>-2.19</v>
      </c>
      <c r="X4" s="5">
        <f>VLOOKUP(A4,KenPom!2:1001,9,FALSE)</f>
        <v>18.5</v>
      </c>
      <c r="Y4" s="5">
        <f>VLOOKUP(A4,Yahoo!2:1001,9,FALSE)</f>
        <v>19.37</v>
      </c>
      <c r="Z4" s="5">
        <f t="shared" si="11"/>
        <v>-0.87</v>
      </c>
      <c r="AA4" s="5">
        <f t="shared" si="12"/>
        <v>-0.16</v>
      </c>
    </row>
    <row r="5">
      <c r="A5" s="4" t="s">
        <v>17</v>
      </c>
      <c r="B5" s="4">
        <v>1.0</v>
      </c>
      <c r="C5" s="4" t="s">
        <v>18</v>
      </c>
      <c r="D5" s="5">
        <f>VLOOKUP(A5,KenPom!3:1002,4,FALSE)</f>
        <v>99.5</v>
      </c>
      <c r="E5" s="5">
        <f>VLOOKUP(A5,Yahoo!3:1002,4,FALSE)</f>
        <v>94.22</v>
      </c>
      <c r="F5" s="5">
        <f t="shared" si="1"/>
        <v>5.28</v>
      </c>
      <c r="G5" s="5">
        <f t="shared" si="2"/>
        <v>5.25</v>
      </c>
      <c r="H5" s="5">
        <f>VLOOKUP(A5,KenPom!3:1002,5,FALSE)</f>
        <v>88.2</v>
      </c>
      <c r="I5" s="5">
        <f>VLOOKUP(A5,Yahoo!3:1002,5,FALSE)</f>
        <v>89.6</v>
      </c>
      <c r="J5" s="5">
        <f t="shared" si="3"/>
        <v>-1.4</v>
      </c>
      <c r="K5" s="5">
        <f t="shared" si="4"/>
        <v>-1.23</v>
      </c>
      <c r="L5" s="5">
        <f>VLOOKUP(A5,KenPom!3:1002,6,FALSE)</f>
        <v>70.9</v>
      </c>
      <c r="M5" s="5">
        <f>VLOOKUP(A5,Yahoo!3:1002,6,FALSE)</f>
        <v>77.11</v>
      </c>
      <c r="N5" s="5">
        <f t="shared" si="5"/>
        <v>-6.21</v>
      </c>
      <c r="O5" s="5">
        <f t="shared" si="6"/>
        <v>-4.4</v>
      </c>
      <c r="P5" s="5">
        <f>VLOOKUP(A5,KenPom!3:1002,7,FALSE)</f>
        <v>50.2</v>
      </c>
      <c r="Q5" s="5">
        <f>VLOOKUP(A5,Yahoo!3:1002,7,FALSE)</f>
        <v>58.91</v>
      </c>
      <c r="R5" s="5">
        <f t="shared" si="7"/>
        <v>-8.71</v>
      </c>
      <c r="S5" s="5">
        <f t="shared" si="8"/>
        <v>-4.37</v>
      </c>
      <c r="T5" s="5">
        <f>VLOOKUP(A5,KenPom!3:1002,8,FALSE)</f>
        <v>30.4</v>
      </c>
      <c r="U5" s="5">
        <f>VLOOKUP(A5,Yahoo!3:1002,8,FALSE)</f>
        <v>28.46</v>
      </c>
      <c r="V5" s="5">
        <f t="shared" si="9"/>
        <v>1.94</v>
      </c>
      <c r="W5" s="5">
        <f t="shared" si="10"/>
        <v>0.59</v>
      </c>
      <c r="X5" s="5">
        <f>VLOOKUP(A5,KenPom!3:1002,9,FALSE)</f>
        <v>18.4</v>
      </c>
      <c r="Y5" s="5">
        <f>VLOOKUP(A5,Yahoo!3:1002,9,FALSE)</f>
        <v>14.48</v>
      </c>
      <c r="Z5" s="5">
        <f t="shared" si="11"/>
        <v>3.92</v>
      </c>
      <c r="AA5" s="5">
        <f t="shared" si="12"/>
        <v>0.72</v>
      </c>
    </row>
    <row r="6">
      <c r="A6" s="4" t="s">
        <v>19</v>
      </c>
      <c r="B6" s="4">
        <v>1.0</v>
      </c>
      <c r="C6" s="4" t="s">
        <v>20</v>
      </c>
      <c r="D6" s="5">
        <f>VLOOKUP(A6,KenPom!4:1003,4,FALSE)</f>
        <v>99.8</v>
      </c>
      <c r="E6" s="5">
        <f>VLOOKUP(A6,Yahoo!4:1003,4,FALSE)</f>
        <v>95.36</v>
      </c>
      <c r="F6" s="5">
        <f t="shared" si="1"/>
        <v>4.44</v>
      </c>
      <c r="G6" s="5">
        <f t="shared" si="2"/>
        <v>4.43</v>
      </c>
      <c r="H6" s="5">
        <f>VLOOKUP(A6,KenPom!4:1003,5,FALSE)</f>
        <v>77.9</v>
      </c>
      <c r="I6" s="5">
        <f>VLOOKUP(A6,Yahoo!4:1003,5,FALSE)</f>
        <v>88.13</v>
      </c>
      <c r="J6" s="5">
        <f t="shared" si="3"/>
        <v>-10.23</v>
      </c>
      <c r="K6" s="5">
        <f t="shared" si="4"/>
        <v>-7.97</v>
      </c>
      <c r="L6" s="5">
        <f>VLOOKUP(A6,KenPom!4:1003,6,FALSE)</f>
        <v>53.2</v>
      </c>
      <c r="M6" s="5">
        <f>VLOOKUP(A6,Yahoo!4:1003,6,FALSE)</f>
        <v>74.68</v>
      </c>
      <c r="N6" s="5">
        <f t="shared" si="5"/>
        <v>-21.48</v>
      </c>
      <c r="O6" s="5">
        <f t="shared" si="6"/>
        <v>-11.43</v>
      </c>
      <c r="P6" s="5">
        <f>VLOOKUP(A6,KenPom!4:1003,7,FALSE)</f>
        <v>30.1</v>
      </c>
      <c r="Q6" s="5">
        <f>VLOOKUP(A6,Yahoo!4:1003,7,FALSE)</f>
        <v>41.77</v>
      </c>
      <c r="R6" s="5">
        <f t="shared" si="7"/>
        <v>-11.67</v>
      </c>
      <c r="S6" s="5">
        <f t="shared" si="8"/>
        <v>-3.51</v>
      </c>
      <c r="T6" s="5">
        <f>VLOOKUP(A6,KenPom!4:1003,8,FALSE)</f>
        <v>15.8</v>
      </c>
      <c r="U6" s="5">
        <f>VLOOKUP(A6,Yahoo!4:1003,8,FALSE)</f>
        <v>13.68</v>
      </c>
      <c r="V6" s="5">
        <f t="shared" si="9"/>
        <v>2.12</v>
      </c>
      <c r="W6" s="5">
        <f t="shared" si="10"/>
        <v>0.33</v>
      </c>
      <c r="X6" s="5">
        <f>VLOOKUP(A6,KenPom!4:1003,9,FALSE)</f>
        <v>7.5</v>
      </c>
      <c r="Y6" s="5">
        <f>VLOOKUP(A6,Yahoo!4:1003,9,FALSE)</f>
        <v>6.48</v>
      </c>
      <c r="Z6" s="5">
        <f t="shared" si="11"/>
        <v>1.02</v>
      </c>
      <c r="AA6" s="5">
        <f t="shared" si="12"/>
        <v>0.08</v>
      </c>
    </row>
    <row r="7">
      <c r="A7" s="4" t="s">
        <v>21</v>
      </c>
      <c r="B7" s="4">
        <v>2.0</v>
      </c>
      <c r="C7" s="4" t="s">
        <v>14</v>
      </c>
      <c r="D7" s="5">
        <f>VLOOKUP(A7,KenPom!5:1004,4,FALSE)</f>
        <v>95.9</v>
      </c>
      <c r="E7" s="5">
        <f>VLOOKUP(A7,Yahoo!5:1004,4,FALSE)</f>
        <v>96.15</v>
      </c>
      <c r="F7" s="5">
        <f t="shared" si="1"/>
        <v>-0.25</v>
      </c>
      <c r="G7" s="5">
        <f t="shared" si="2"/>
        <v>-0.24</v>
      </c>
      <c r="H7" s="5">
        <f>VLOOKUP(A7,KenPom!5:1004,5,FALSE)</f>
        <v>66.1</v>
      </c>
      <c r="I7" s="5">
        <f>VLOOKUP(A7,Yahoo!5:1004,5,FALSE)</f>
        <v>77.4</v>
      </c>
      <c r="J7" s="5">
        <f t="shared" si="3"/>
        <v>-11.3</v>
      </c>
      <c r="K7" s="5">
        <f t="shared" si="4"/>
        <v>-7.47</v>
      </c>
      <c r="L7" s="5">
        <f>VLOOKUP(A7,KenPom!5:1004,6,FALSE)</f>
        <v>35.5</v>
      </c>
      <c r="M7" s="5">
        <f>VLOOKUP(A7,Yahoo!5:1004,6,FALSE)</f>
        <v>48.29</v>
      </c>
      <c r="N7" s="5">
        <f t="shared" si="5"/>
        <v>-12.79</v>
      </c>
      <c r="O7" s="5">
        <f t="shared" si="6"/>
        <v>-4.54</v>
      </c>
      <c r="P7" s="5">
        <f>VLOOKUP(A7,KenPom!5:1004,7,FALSE)</f>
        <v>13.1</v>
      </c>
      <c r="Q7" s="5">
        <f>VLOOKUP(A7,Yahoo!5:1004,7,FALSE)</f>
        <v>13.25</v>
      </c>
      <c r="R7" s="5">
        <f t="shared" si="7"/>
        <v>-0.15</v>
      </c>
      <c r="S7" s="5">
        <f t="shared" si="8"/>
        <v>-0.02</v>
      </c>
      <c r="T7" s="5">
        <f>VLOOKUP(A7,KenPom!5:1004,8,FALSE)</f>
        <v>4.9</v>
      </c>
      <c r="U7" s="5">
        <f>VLOOKUP(A7,Yahoo!5:1004,8,FALSE)</f>
        <v>7.19</v>
      </c>
      <c r="V7" s="5">
        <f t="shared" si="9"/>
        <v>-2.29</v>
      </c>
      <c r="W7" s="5">
        <f t="shared" si="10"/>
        <v>-0.11</v>
      </c>
      <c r="X7" s="5">
        <f>VLOOKUP(A7,KenPom!5:1004,9,FALSE)</f>
        <v>1.9</v>
      </c>
      <c r="Y7" s="5">
        <f>VLOOKUP(A7,Yahoo!5:1004,9,FALSE)</f>
        <v>3.61</v>
      </c>
      <c r="Z7" s="5">
        <f t="shared" si="11"/>
        <v>-1.71</v>
      </c>
      <c r="AA7" s="5">
        <f t="shared" si="12"/>
        <v>-0.03</v>
      </c>
    </row>
    <row r="8">
      <c r="A8" s="4" t="s">
        <v>22</v>
      </c>
      <c r="B8" s="4">
        <v>2.0</v>
      </c>
      <c r="C8" s="4" t="s">
        <v>16</v>
      </c>
      <c r="D8" s="5">
        <f>VLOOKUP(A8,KenPom!6:1005,4,FALSE)</f>
        <v>97.6</v>
      </c>
      <c r="E8" s="5">
        <f>VLOOKUP(A8,Yahoo!6:1005,4,FALSE)</f>
        <v>93.62</v>
      </c>
      <c r="F8" s="5">
        <f t="shared" si="1"/>
        <v>3.98</v>
      </c>
      <c r="G8" s="5">
        <f t="shared" si="2"/>
        <v>3.88</v>
      </c>
      <c r="H8" s="5">
        <f>VLOOKUP(A8,KenPom!6:1005,5,FALSE)</f>
        <v>74.9</v>
      </c>
      <c r="I8" s="5">
        <f>VLOOKUP(A8,Yahoo!6:1005,5,FALSE)</f>
        <v>76.5</v>
      </c>
      <c r="J8" s="5">
        <f t="shared" si="3"/>
        <v>-1.6</v>
      </c>
      <c r="K8" s="5">
        <f t="shared" si="4"/>
        <v>-1.2</v>
      </c>
      <c r="L8" s="5">
        <f>VLOOKUP(A8,KenPom!6:1005,6,FALSE)</f>
        <v>46.7</v>
      </c>
      <c r="M8" s="5">
        <f>VLOOKUP(A8,Yahoo!6:1005,6,FALSE)</f>
        <v>47.5</v>
      </c>
      <c r="N8" s="5">
        <f t="shared" si="5"/>
        <v>-0.8</v>
      </c>
      <c r="O8" s="5">
        <f t="shared" si="6"/>
        <v>-0.37</v>
      </c>
      <c r="P8" s="5">
        <f>VLOOKUP(A8,KenPom!6:1005,7,FALSE)</f>
        <v>20.8</v>
      </c>
      <c r="Q8" s="5">
        <f>VLOOKUP(A8,Yahoo!6:1005,7,FALSE)</f>
        <v>15.85</v>
      </c>
      <c r="R8" s="5">
        <f t="shared" si="7"/>
        <v>4.95</v>
      </c>
      <c r="S8" s="5">
        <f t="shared" si="8"/>
        <v>1.03</v>
      </c>
      <c r="T8" s="5">
        <f>VLOOKUP(A8,KenPom!6:1005,8,FALSE)</f>
        <v>10.3</v>
      </c>
      <c r="U8" s="5">
        <f>VLOOKUP(A8,Yahoo!6:1005,8,FALSE)</f>
        <v>7.47</v>
      </c>
      <c r="V8" s="5">
        <f t="shared" si="9"/>
        <v>2.83</v>
      </c>
      <c r="W8" s="5">
        <f t="shared" si="10"/>
        <v>0.29</v>
      </c>
      <c r="X8" s="5">
        <f>VLOOKUP(A8,KenPom!6:1005,9,FALSE)</f>
        <v>4.3</v>
      </c>
      <c r="Y8" s="5">
        <f>VLOOKUP(A8,Yahoo!6:1005,9,FALSE)</f>
        <v>3.17</v>
      </c>
      <c r="Z8" s="5">
        <f t="shared" si="11"/>
        <v>1.13</v>
      </c>
      <c r="AA8" s="5">
        <f t="shared" si="12"/>
        <v>0.05</v>
      </c>
    </row>
    <row r="9">
      <c r="A9" s="4" t="s">
        <v>23</v>
      </c>
      <c r="B9" s="4">
        <v>2.0</v>
      </c>
      <c r="C9" s="4" t="s">
        <v>18</v>
      </c>
      <c r="D9" s="5">
        <f>VLOOKUP(A9,KenPom!7:1006,4,FALSE)</f>
        <v>98.4</v>
      </c>
      <c r="E9" s="5">
        <f>VLOOKUP(A9,Yahoo!7:1006,4,FALSE)</f>
        <v>91.25</v>
      </c>
      <c r="F9" s="5">
        <f t="shared" si="1"/>
        <v>7.15</v>
      </c>
      <c r="G9" s="5">
        <f t="shared" si="2"/>
        <v>7.04</v>
      </c>
      <c r="H9" s="5">
        <f>VLOOKUP(A9,KenPom!7:1006,5,FALSE)</f>
        <v>75.3</v>
      </c>
      <c r="I9" s="5">
        <f>VLOOKUP(A9,Yahoo!7:1006,5,FALSE)</f>
        <v>69.43</v>
      </c>
      <c r="J9" s="5">
        <f t="shared" si="3"/>
        <v>5.87</v>
      </c>
      <c r="K9" s="5">
        <f t="shared" si="4"/>
        <v>4.42</v>
      </c>
      <c r="L9" s="5">
        <f>VLOOKUP(A9,KenPom!7:1006,6,FALSE)</f>
        <v>49.4</v>
      </c>
      <c r="M9" s="5">
        <f>VLOOKUP(A9,Yahoo!7:1006,6,FALSE)</f>
        <v>47.35</v>
      </c>
      <c r="N9" s="5">
        <f t="shared" si="5"/>
        <v>2.05</v>
      </c>
      <c r="O9" s="5">
        <f t="shared" si="6"/>
        <v>1.01</v>
      </c>
      <c r="P9" s="5">
        <f>VLOOKUP(A9,KenPom!7:1006,7,FALSE)</f>
        <v>22.9</v>
      </c>
      <c r="Q9" s="5">
        <f>VLOOKUP(A9,Yahoo!7:1006,7,FALSE)</f>
        <v>16.41</v>
      </c>
      <c r="R9" s="5">
        <f t="shared" si="7"/>
        <v>6.49</v>
      </c>
      <c r="S9" s="5">
        <f t="shared" si="8"/>
        <v>1.49</v>
      </c>
      <c r="T9" s="5">
        <f>VLOOKUP(A9,KenPom!7:1006,8,FALSE)</f>
        <v>11.2</v>
      </c>
      <c r="U9" s="5">
        <f>VLOOKUP(A9,Yahoo!7:1006,8,FALSE)</f>
        <v>5.12</v>
      </c>
      <c r="V9" s="5">
        <f t="shared" si="9"/>
        <v>6.08</v>
      </c>
      <c r="W9" s="5">
        <f t="shared" si="10"/>
        <v>0.68</v>
      </c>
      <c r="X9" s="5">
        <f>VLOOKUP(A9,KenPom!7:1006,9,FALSE)</f>
        <v>5.4</v>
      </c>
      <c r="Y9" s="5">
        <f>VLOOKUP(A9,Yahoo!7:1006,9,FALSE)</f>
        <v>1.82</v>
      </c>
      <c r="Z9" s="5">
        <f t="shared" si="11"/>
        <v>3.58</v>
      </c>
      <c r="AA9" s="5">
        <f t="shared" si="12"/>
        <v>0.19</v>
      </c>
    </row>
    <row r="10">
      <c r="A10" s="4" t="s">
        <v>24</v>
      </c>
      <c r="B10" s="4">
        <v>2.0</v>
      </c>
      <c r="C10" s="4" t="s">
        <v>20</v>
      </c>
      <c r="D10" s="5">
        <f>VLOOKUP(A10,KenPom!8:1007,4,FALSE)</f>
        <v>96.9</v>
      </c>
      <c r="E10" s="5">
        <f>VLOOKUP(A10,Yahoo!8:1007,4,FALSE)</f>
        <v>93.67</v>
      </c>
      <c r="F10" s="5">
        <f t="shared" si="1"/>
        <v>3.23</v>
      </c>
      <c r="G10" s="5">
        <f t="shared" si="2"/>
        <v>3.13</v>
      </c>
      <c r="H10" s="5">
        <f>VLOOKUP(A10,KenPom!8:1007,5,FALSE)</f>
        <v>73.5</v>
      </c>
      <c r="I10" s="5">
        <f>VLOOKUP(A10,Yahoo!8:1007,5,FALSE)</f>
        <v>81.46</v>
      </c>
      <c r="J10" s="5">
        <f t="shared" si="3"/>
        <v>-7.96</v>
      </c>
      <c r="K10" s="5">
        <f t="shared" si="4"/>
        <v>-5.85</v>
      </c>
      <c r="L10" s="5">
        <f>VLOOKUP(A10,KenPom!8:1007,6,FALSE)</f>
        <v>43.6</v>
      </c>
      <c r="M10" s="5">
        <f>VLOOKUP(A10,Yahoo!8:1007,6,FALSE)</f>
        <v>58.94</v>
      </c>
      <c r="N10" s="5">
        <f t="shared" si="5"/>
        <v>-15.34</v>
      </c>
      <c r="O10" s="5">
        <f t="shared" si="6"/>
        <v>-6.69</v>
      </c>
      <c r="P10" s="5">
        <f>VLOOKUP(A10,KenPom!8:1007,7,FALSE)</f>
        <v>25.1</v>
      </c>
      <c r="Q10" s="5">
        <f>VLOOKUP(A10,Yahoo!8:1007,7,FALSE)</f>
        <v>34</v>
      </c>
      <c r="R10" s="5">
        <f t="shared" si="7"/>
        <v>-8.9</v>
      </c>
      <c r="S10" s="5">
        <f t="shared" si="8"/>
        <v>-2.23</v>
      </c>
      <c r="T10" s="5">
        <f>VLOOKUP(A10,KenPom!8:1007,8,FALSE)</f>
        <v>12.9</v>
      </c>
      <c r="U10" s="5">
        <f>VLOOKUP(A10,Yahoo!8:1007,8,FALSE)</f>
        <v>12.62</v>
      </c>
      <c r="V10" s="5">
        <f t="shared" si="9"/>
        <v>0.28</v>
      </c>
      <c r="W10" s="5">
        <f t="shared" si="10"/>
        <v>0.04</v>
      </c>
      <c r="X10" s="5">
        <f>VLOOKUP(A10,KenPom!8:1007,9,FALSE)</f>
        <v>6.1</v>
      </c>
      <c r="Y10" s="5">
        <f>VLOOKUP(A10,Yahoo!8:1007,9,FALSE)</f>
        <v>5.2</v>
      </c>
      <c r="Z10" s="5">
        <f t="shared" si="11"/>
        <v>0.9</v>
      </c>
      <c r="AA10" s="5">
        <f t="shared" si="12"/>
        <v>0.05</v>
      </c>
    </row>
    <row r="11">
      <c r="A11" s="4" t="s">
        <v>25</v>
      </c>
      <c r="B11" s="4">
        <v>3.0</v>
      </c>
      <c r="C11" s="4" t="s">
        <v>14</v>
      </c>
      <c r="D11" s="5">
        <f>VLOOKUP(A11,KenPom!9:1008,4,FALSE)</f>
        <v>91.6</v>
      </c>
      <c r="E11" s="5">
        <f>VLOOKUP(A11,Yahoo!9:1008,4,FALSE)</f>
        <v>94.58</v>
      </c>
      <c r="F11" s="5">
        <f t="shared" si="1"/>
        <v>-2.98</v>
      </c>
      <c r="G11" s="5">
        <f t="shared" si="2"/>
        <v>-2.73</v>
      </c>
      <c r="H11" s="5">
        <f>VLOOKUP(A11,KenPom!9:1008,5,FALSE)</f>
        <v>57.5</v>
      </c>
      <c r="I11" s="5">
        <f>VLOOKUP(A11,Yahoo!9:1008,5,FALSE)</f>
        <v>73.1</v>
      </c>
      <c r="J11" s="5">
        <f t="shared" si="3"/>
        <v>-15.6</v>
      </c>
      <c r="K11" s="5">
        <f t="shared" si="4"/>
        <v>-8.97</v>
      </c>
      <c r="L11" s="5">
        <f>VLOOKUP(A11,KenPom!9:1008,6,FALSE)</f>
        <v>32.9</v>
      </c>
      <c r="M11" s="5">
        <f>VLOOKUP(A11,Yahoo!9:1008,6,FALSE)</f>
        <v>34.57</v>
      </c>
      <c r="N11" s="5">
        <f t="shared" si="5"/>
        <v>-1.67</v>
      </c>
      <c r="O11" s="5">
        <f t="shared" si="6"/>
        <v>-0.55</v>
      </c>
      <c r="P11" s="5">
        <f>VLOOKUP(A11,KenPom!9:1008,7,FALSE)</f>
        <v>12</v>
      </c>
      <c r="Q11" s="5">
        <f>VLOOKUP(A11,Yahoo!9:1008,7,FALSE)</f>
        <v>7.72</v>
      </c>
      <c r="R11" s="5">
        <f t="shared" si="7"/>
        <v>4.28</v>
      </c>
      <c r="S11" s="5">
        <f t="shared" si="8"/>
        <v>0.51</v>
      </c>
      <c r="T11" s="5">
        <f>VLOOKUP(A11,KenPom!9:1008,8,FALSE)</f>
        <v>4.6</v>
      </c>
      <c r="U11" s="5">
        <f>VLOOKUP(A11,Yahoo!9:1008,8,FALSE)</f>
        <v>3.36</v>
      </c>
      <c r="V11" s="5">
        <f t="shared" si="9"/>
        <v>1.24</v>
      </c>
      <c r="W11" s="5">
        <f t="shared" si="10"/>
        <v>0.06</v>
      </c>
      <c r="X11" s="5">
        <f>VLOOKUP(A11,KenPom!9:1008,9,FALSE)</f>
        <v>1.8</v>
      </c>
      <c r="Y11" s="5">
        <f>VLOOKUP(A11,Yahoo!9:1008,9,FALSE)</f>
        <v>1.36</v>
      </c>
      <c r="Z11" s="5">
        <f t="shared" si="11"/>
        <v>0.44</v>
      </c>
      <c r="AA11" s="5">
        <f t="shared" si="12"/>
        <v>0.01</v>
      </c>
    </row>
    <row r="12">
      <c r="A12" s="4" t="s">
        <v>26</v>
      </c>
      <c r="B12" s="4">
        <v>3.0</v>
      </c>
      <c r="C12" s="4" t="s">
        <v>16</v>
      </c>
      <c r="D12" s="5">
        <f>VLOOKUP(A12,KenPom!10:1009,4,FALSE)</f>
        <v>96.3</v>
      </c>
      <c r="E12" s="5">
        <f>VLOOKUP(A12,Yahoo!10:1009,4,FALSE)</f>
        <v>91.65</v>
      </c>
      <c r="F12" s="5">
        <f t="shared" si="1"/>
        <v>4.65</v>
      </c>
      <c r="G12" s="5">
        <f t="shared" si="2"/>
        <v>4.48</v>
      </c>
      <c r="H12" s="5">
        <f>VLOOKUP(A12,KenPom!10:1009,5,FALSE)</f>
        <v>63.4</v>
      </c>
      <c r="I12" s="5">
        <f>VLOOKUP(A12,Yahoo!10:1009,5,FALSE)</f>
        <v>64.19</v>
      </c>
      <c r="J12" s="5">
        <f t="shared" si="3"/>
        <v>-0.79</v>
      </c>
      <c r="K12" s="5">
        <f t="shared" si="4"/>
        <v>-0.5</v>
      </c>
      <c r="L12" s="5">
        <f>VLOOKUP(A12,KenPom!10:1009,6,FALSE)</f>
        <v>31.6</v>
      </c>
      <c r="M12" s="5">
        <f>VLOOKUP(A12,Yahoo!10:1009,6,FALSE)</f>
        <v>30.43</v>
      </c>
      <c r="N12" s="5">
        <f t="shared" si="5"/>
        <v>1.17</v>
      </c>
      <c r="O12" s="5">
        <f t="shared" si="6"/>
        <v>0.37</v>
      </c>
      <c r="P12" s="5">
        <f>VLOOKUP(A12,KenPom!10:1009,7,FALSE)</f>
        <v>11.7</v>
      </c>
      <c r="Q12" s="5">
        <f>VLOOKUP(A12,Yahoo!10:1009,7,FALSE)</f>
        <v>10.08</v>
      </c>
      <c r="R12" s="5">
        <f t="shared" si="7"/>
        <v>1.62</v>
      </c>
      <c r="S12" s="5">
        <f t="shared" si="8"/>
        <v>0.19</v>
      </c>
      <c r="T12" s="5">
        <f>VLOOKUP(A12,KenPom!10:1009,8,FALSE)</f>
        <v>4.9</v>
      </c>
      <c r="U12" s="5">
        <f>VLOOKUP(A12,Yahoo!10:1009,8,FALSE)</f>
        <v>4.9</v>
      </c>
      <c r="V12" s="5">
        <f t="shared" si="9"/>
        <v>0</v>
      </c>
      <c r="W12" s="5">
        <f t="shared" si="10"/>
        <v>0</v>
      </c>
      <c r="X12" s="5">
        <f>VLOOKUP(A12,KenPom!10:1009,9,FALSE)</f>
        <v>1.7</v>
      </c>
      <c r="Y12" s="5">
        <f>VLOOKUP(A12,Yahoo!10:1009,9,FALSE)</f>
        <v>1.91</v>
      </c>
      <c r="Z12" s="5">
        <f t="shared" si="11"/>
        <v>-0.21</v>
      </c>
      <c r="AA12" s="5">
        <f t="shared" si="12"/>
        <v>0</v>
      </c>
    </row>
    <row r="13">
      <c r="A13" s="4" t="s">
        <v>27</v>
      </c>
      <c r="B13" s="4">
        <v>3.0</v>
      </c>
      <c r="C13" s="4" t="s">
        <v>18</v>
      </c>
      <c r="D13" s="5">
        <f>VLOOKUP(A13,KenPom!11:1010,4,FALSE)</f>
        <v>93.1</v>
      </c>
      <c r="E13" s="5">
        <f>VLOOKUP(A13,Yahoo!11:1010,4,FALSE)</f>
        <v>90.14</v>
      </c>
      <c r="F13" s="5">
        <f t="shared" si="1"/>
        <v>2.96</v>
      </c>
      <c r="G13" s="5">
        <f t="shared" si="2"/>
        <v>2.76</v>
      </c>
      <c r="H13" s="5">
        <f>VLOOKUP(A13,KenPom!11:1010,5,FALSE)</f>
        <v>53.1</v>
      </c>
      <c r="I13" s="5">
        <f>VLOOKUP(A13,Yahoo!11:1010,5,FALSE)</f>
        <v>59.96</v>
      </c>
      <c r="J13" s="5">
        <f t="shared" si="3"/>
        <v>-6.86</v>
      </c>
      <c r="K13" s="5">
        <f t="shared" si="4"/>
        <v>-3.64</v>
      </c>
      <c r="L13" s="5">
        <f>VLOOKUP(A13,KenPom!11:1010,6,FALSE)</f>
        <v>23.2</v>
      </c>
      <c r="M13" s="5">
        <f>VLOOKUP(A13,Yahoo!11:1010,6,FALSE)</f>
        <v>25.79</v>
      </c>
      <c r="N13" s="5">
        <f t="shared" si="5"/>
        <v>-2.59</v>
      </c>
      <c r="O13" s="5">
        <f t="shared" si="6"/>
        <v>-0.6</v>
      </c>
      <c r="P13" s="5">
        <f>VLOOKUP(A13,KenPom!11:1010,7,FALSE)</f>
        <v>7.8</v>
      </c>
      <c r="Q13" s="5">
        <f>VLOOKUP(A13,Yahoo!11:1010,7,FALSE)</f>
        <v>7.57</v>
      </c>
      <c r="R13" s="5">
        <f t="shared" si="7"/>
        <v>0.23</v>
      </c>
      <c r="S13" s="5">
        <f t="shared" si="8"/>
        <v>0.02</v>
      </c>
      <c r="T13" s="5">
        <f>VLOOKUP(A13,KenPom!11:1010,8,FALSE)</f>
        <v>2.7</v>
      </c>
      <c r="U13" s="5">
        <f>VLOOKUP(A13,Yahoo!11:1010,8,FALSE)</f>
        <v>2.39</v>
      </c>
      <c r="V13" s="5">
        <f t="shared" si="9"/>
        <v>0.31</v>
      </c>
      <c r="W13" s="5">
        <f t="shared" si="10"/>
        <v>0.01</v>
      </c>
      <c r="X13" s="5">
        <f>VLOOKUP(A13,KenPom!11:1010,9,FALSE)</f>
        <v>1</v>
      </c>
      <c r="Y13" s="5">
        <f>VLOOKUP(A13,Yahoo!11:1010,9,FALSE)</f>
        <v>0.77</v>
      </c>
      <c r="Z13" s="5">
        <f t="shared" si="11"/>
        <v>0.23</v>
      </c>
      <c r="AA13" s="5">
        <f t="shared" si="12"/>
        <v>0</v>
      </c>
    </row>
    <row r="14">
      <c r="A14" s="4" t="s">
        <v>28</v>
      </c>
      <c r="B14" s="4">
        <v>3.0</v>
      </c>
      <c r="C14" s="4" t="s">
        <v>20</v>
      </c>
      <c r="D14" s="5">
        <f>VLOOKUP(A14,KenPom!12:1011,4,FALSE)</f>
        <v>97</v>
      </c>
      <c r="E14" s="5">
        <f>VLOOKUP(A14,Yahoo!12:1011,4,FALSE)</f>
        <v>90.7</v>
      </c>
      <c r="F14" s="5">
        <f t="shared" si="1"/>
        <v>6.3</v>
      </c>
      <c r="G14" s="5">
        <f t="shared" si="2"/>
        <v>6.11</v>
      </c>
      <c r="H14" s="5">
        <f>VLOOKUP(A14,KenPom!12:1011,5,FALSE)</f>
        <v>75.5</v>
      </c>
      <c r="I14" s="5">
        <f>VLOOKUP(A14,Yahoo!12:1011,5,FALSE)</f>
        <v>60.96</v>
      </c>
      <c r="J14" s="5">
        <f t="shared" si="3"/>
        <v>14.54</v>
      </c>
      <c r="K14" s="5">
        <f t="shared" si="4"/>
        <v>10.98</v>
      </c>
      <c r="L14" s="5">
        <f>VLOOKUP(A14,KenPom!12:1011,6,FALSE)</f>
        <v>40.8</v>
      </c>
      <c r="M14" s="5">
        <f>VLOOKUP(A14,Yahoo!12:1011,6,FALSE)</f>
        <v>20.39</v>
      </c>
      <c r="N14" s="5">
        <f t="shared" si="5"/>
        <v>20.41</v>
      </c>
      <c r="O14" s="5">
        <f t="shared" si="6"/>
        <v>8.33</v>
      </c>
      <c r="P14" s="5">
        <f>VLOOKUP(A14,KenPom!12:1011,7,FALSE)</f>
        <v>22.3</v>
      </c>
      <c r="Q14" s="5">
        <f>VLOOKUP(A14,Yahoo!12:1011,7,FALSE)</f>
        <v>9.17</v>
      </c>
      <c r="R14" s="5">
        <f t="shared" si="7"/>
        <v>13.13</v>
      </c>
      <c r="S14" s="5">
        <f t="shared" si="8"/>
        <v>2.93</v>
      </c>
      <c r="T14" s="5">
        <f>VLOOKUP(A14,KenPom!12:1011,8,FALSE)</f>
        <v>10.7</v>
      </c>
      <c r="U14" s="5">
        <f>VLOOKUP(A14,Yahoo!12:1011,8,FALSE)</f>
        <v>3.05</v>
      </c>
      <c r="V14" s="5">
        <f t="shared" si="9"/>
        <v>7.65</v>
      </c>
      <c r="W14" s="5">
        <f t="shared" si="10"/>
        <v>0.82</v>
      </c>
      <c r="X14" s="5">
        <f>VLOOKUP(A14,KenPom!12:1011,9,FALSE)</f>
        <v>4.6</v>
      </c>
      <c r="Y14" s="5">
        <f>VLOOKUP(A14,Yahoo!12:1011,9,FALSE)</f>
        <v>1.14</v>
      </c>
      <c r="Z14" s="5">
        <f t="shared" si="11"/>
        <v>3.46</v>
      </c>
      <c r="AA14" s="5">
        <f t="shared" si="12"/>
        <v>0.16</v>
      </c>
    </row>
    <row r="15">
      <c r="A15" s="4" t="s">
        <v>29</v>
      </c>
      <c r="B15" s="4">
        <v>4.0</v>
      </c>
      <c r="C15" s="4" t="s">
        <v>14</v>
      </c>
      <c r="D15" s="5">
        <f>VLOOKUP(A15,KenPom!13:1012,4,FALSE)</f>
        <v>86.6</v>
      </c>
      <c r="E15" s="5">
        <f>VLOOKUP(A15,Yahoo!13:1012,4,FALSE)</f>
        <v>94.16</v>
      </c>
      <c r="F15" s="5">
        <f t="shared" si="1"/>
        <v>-7.56</v>
      </c>
      <c r="G15" s="5">
        <f t="shared" si="2"/>
        <v>-6.55</v>
      </c>
      <c r="H15" s="5">
        <f>VLOOKUP(A15,KenPom!13:1012,5,FALSE)</f>
        <v>45.5</v>
      </c>
      <c r="I15" s="5">
        <f>VLOOKUP(A15,Yahoo!13:1012,5,FALSE)</f>
        <v>43.8</v>
      </c>
      <c r="J15" s="5">
        <f t="shared" si="3"/>
        <v>1.7</v>
      </c>
      <c r="K15" s="5">
        <f t="shared" si="4"/>
        <v>0.77</v>
      </c>
      <c r="L15" s="5">
        <f>VLOOKUP(A15,KenPom!13:1012,6,FALSE)</f>
        <v>11.4</v>
      </c>
      <c r="M15" s="5">
        <f>VLOOKUP(A15,Yahoo!13:1012,6,FALSE)</f>
        <v>7.93</v>
      </c>
      <c r="N15" s="5">
        <f t="shared" si="5"/>
        <v>3.47</v>
      </c>
      <c r="O15" s="5">
        <f t="shared" si="6"/>
        <v>0.4</v>
      </c>
      <c r="P15" s="5">
        <f>VLOOKUP(A15,KenPom!13:1012,7,FALSE)</f>
        <v>5.2</v>
      </c>
      <c r="Q15" s="5">
        <f>VLOOKUP(A15,Yahoo!13:1012,7,FALSE)</f>
        <v>4.29</v>
      </c>
      <c r="R15" s="5">
        <f t="shared" si="7"/>
        <v>0.91</v>
      </c>
      <c r="S15" s="5">
        <f t="shared" si="8"/>
        <v>0.05</v>
      </c>
      <c r="T15" s="5">
        <f>VLOOKUP(A15,KenPom!13:1012,8,FALSE)</f>
        <v>1.6</v>
      </c>
      <c r="U15" s="5">
        <f>VLOOKUP(A15,Yahoo!13:1012,8,FALSE)</f>
        <v>2.49</v>
      </c>
      <c r="V15" s="5">
        <f t="shared" si="9"/>
        <v>-0.89</v>
      </c>
      <c r="W15" s="5">
        <f t="shared" si="10"/>
        <v>-0.01</v>
      </c>
      <c r="X15" s="5">
        <f>VLOOKUP(A15,KenPom!13:1012,9,FALSE)</f>
        <v>0.5</v>
      </c>
      <c r="Y15" s="5">
        <f>VLOOKUP(A15,Yahoo!13:1012,9,FALSE)</f>
        <v>1.56</v>
      </c>
      <c r="Z15" s="5">
        <f t="shared" si="11"/>
        <v>-1.06</v>
      </c>
      <c r="AA15" s="5">
        <f t="shared" si="12"/>
        <v>-0.01</v>
      </c>
    </row>
    <row r="16">
      <c r="A16" s="4" t="s">
        <v>30</v>
      </c>
      <c r="B16" s="4">
        <v>4.0</v>
      </c>
      <c r="C16" s="4" t="s">
        <v>16</v>
      </c>
      <c r="D16" s="5">
        <f>VLOOKUP(A16,KenPom!14:1013,4,FALSE)</f>
        <v>90.7</v>
      </c>
      <c r="E16" s="5">
        <f>VLOOKUP(A16,Yahoo!14:1013,4,FALSE)</f>
        <v>88.69</v>
      </c>
      <c r="F16" s="5">
        <f t="shared" si="1"/>
        <v>2.01</v>
      </c>
      <c r="G16" s="5">
        <f t="shared" si="2"/>
        <v>1.82</v>
      </c>
      <c r="H16" s="5">
        <f>VLOOKUP(A16,KenPom!14:1013,5,FALSE)</f>
        <v>56.2</v>
      </c>
      <c r="I16" s="5">
        <f>VLOOKUP(A16,Yahoo!14:1013,5,FALSE)</f>
        <v>53.07</v>
      </c>
      <c r="J16" s="5">
        <f t="shared" si="3"/>
        <v>3.13</v>
      </c>
      <c r="K16" s="5">
        <f t="shared" si="4"/>
        <v>1.76</v>
      </c>
      <c r="L16" s="5">
        <f>VLOOKUP(A16,KenPom!14:1013,6,FALSE)</f>
        <v>15.9</v>
      </c>
      <c r="M16" s="5">
        <f>VLOOKUP(A16,Yahoo!14:1013,6,FALSE)</f>
        <v>10.86</v>
      </c>
      <c r="N16" s="5">
        <f t="shared" si="5"/>
        <v>5.04</v>
      </c>
      <c r="O16" s="5">
        <f t="shared" si="6"/>
        <v>0.8</v>
      </c>
      <c r="P16" s="5">
        <f>VLOOKUP(A16,KenPom!14:1013,7,FALSE)</f>
        <v>7.2</v>
      </c>
      <c r="Q16" s="5">
        <f>VLOOKUP(A16,Yahoo!14:1013,7,FALSE)</f>
        <v>6.48</v>
      </c>
      <c r="R16" s="5">
        <f t="shared" si="7"/>
        <v>0.72</v>
      </c>
      <c r="S16" s="5">
        <f t="shared" si="8"/>
        <v>0.05</v>
      </c>
      <c r="T16" s="5">
        <f>VLOOKUP(A16,KenPom!14:1013,8,FALSE)</f>
        <v>2.7</v>
      </c>
      <c r="U16" s="5">
        <f>VLOOKUP(A16,Yahoo!14:1013,8,FALSE)</f>
        <v>2.95</v>
      </c>
      <c r="V16" s="5">
        <f t="shared" si="9"/>
        <v>-0.25</v>
      </c>
      <c r="W16" s="5">
        <f t="shared" si="10"/>
        <v>-0.01</v>
      </c>
      <c r="X16" s="5">
        <f>VLOOKUP(A16,KenPom!14:1013,9,FALSE)</f>
        <v>0.8</v>
      </c>
      <c r="Y16" s="5">
        <f>VLOOKUP(A16,Yahoo!14:1013,9,FALSE)</f>
        <v>1.21</v>
      </c>
      <c r="Z16" s="5">
        <f t="shared" si="11"/>
        <v>-0.41</v>
      </c>
      <c r="AA16" s="5">
        <f t="shared" si="12"/>
        <v>0</v>
      </c>
    </row>
    <row r="17">
      <c r="A17" s="4" t="s">
        <v>31</v>
      </c>
      <c r="B17" s="4">
        <v>4.0</v>
      </c>
      <c r="C17" s="4" t="s">
        <v>18</v>
      </c>
      <c r="D17" s="5">
        <f>VLOOKUP(A17,KenPom!15:1014,4,FALSE)</f>
        <v>79.6</v>
      </c>
      <c r="E17" s="5">
        <f>VLOOKUP(A17,Yahoo!15:1014,4,FALSE)</f>
        <v>87.86</v>
      </c>
      <c r="F17" s="5">
        <f t="shared" si="1"/>
        <v>-8.26</v>
      </c>
      <c r="G17" s="5">
        <f t="shared" si="2"/>
        <v>-6.57</v>
      </c>
      <c r="H17" s="5">
        <f>VLOOKUP(A17,KenPom!15:1014,5,FALSE)</f>
        <v>46.5</v>
      </c>
      <c r="I17" s="5">
        <f>VLOOKUP(A17,Yahoo!15:1014,5,FALSE)</f>
        <v>54.95</v>
      </c>
      <c r="J17" s="5">
        <f t="shared" si="3"/>
        <v>-8.45</v>
      </c>
      <c r="K17" s="5">
        <f t="shared" si="4"/>
        <v>-3.93</v>
      </c>
      <c r="L17" s="5">
        <f>VLOOKUP(A17,KenPom!15:1014,6,FALSE)</f>
        <v>12.7</v>
      </c>
      <c r="M17" s="5">
        <f>VLOOKUP(A17,Yahoo!15:1014,6,FALSE)</f>
        <v>10.89</v>
      </c>
      <c r="N17" s="5">
        <f t="shared" si="5"/>
        <v>1.81</v>
      </c>
      <c r="O17" s="5">
        <f t="shared" si="6"/>
        <v>0.23</v>
      </c>
      <c r="P17" s="5">
        <f>VLOOKUP(A17,KenPom!15:1014,7,FALSE)</f>
        <v>6.1</v>
      </c>
      <c r="Q17" s="5">
        <f>VLOOKUP(A17,Yahoo!15:1014,7,FALSE)</f>
        <v>4.86</v>
      </c>
      <c r="R17" s="5">
        <f t="shared" si="7"/>
        <v>1.24</v>
      </c>
      <c r="S17" s="5">
        <f t="shared" si="8"/>
        <v>0.08</v>
      </c>
      <c r="T17" s="5">
        <f>VLOOKUP(A17,KenPom!15:1014,8,FALSE)</f>
        <v>2.1</v>
      </c>
      <c r="U17" s="5">
        <f>VLOOKUP(A17,Yahoo!15:1014,8,FALSE)</f>
        <v>1.52</v>
      </c>
      <c r="V17" s="5">
        <f t="shared" si="9"/>
        <v>0.58</v>
      </c>
      <c r="W17" s="5">
        <f t="shared" si="10"/>
        <v>0.01</v>
      </c>
      <c r="X17" s="5">
        <f>VLOOKUP(A17,KenPom!15:1014,9,FALSE)</f>
        <v>0.7</v>
      </c>
      <c r="Y17" s="5">
        <f>VLOOKUP(A17,Yahoo!15:1014,9,FALSE)</f>
        <v>0.56</v>
      </c>
      <c r="Z17" s="5">
        <f t="shared" si="11"/>
        <v>0.14</v>
      </c>
      <c r="AA17" s="5">
        <f t="shared" si="12"/>
        <v>0</v>
      </c>
    </row>
    <row r="18">
      <c r="A18" s="4" t="s">
        <v>32</v>
      </c>
      <c r="B18" s="4">
        <v>4.0</v>
      </c>
      <c r="C18" s="4" t="s">
        <v>20</v>
      </c>
      <c r="D18" s="5">
        <f>VLOOKUP(A18,KenPom!16:1015,4,FALSE)</f>
        <v>92.7</v>
      </c>
      <c r="E18" s="5">
        <f>VLOOKUP(A18,Yahoo!16:1015,4,FALSE)</f>
        <v>84.73</v>
      </c>
      <c r="F18" s="5">
        <f t="shared" si="1"/>
        <v>7.97</v>
      </c>
      <c r="G18" s="5">
        <f t="shared" si="2"/>
        <v>7.39</v>
      </c>
      <c r="H18" s="5">
        <f>VLOOKUP(A18,KenPom!16:1015,5,FALSE)</f>
        <v>48.7</v>
      </c>
      <c r="I18" s="5">
        <f>VLOOKUP(A18,Yahoo!16:1015,5,FALSE)</f>
        <v>36.52</v>
      </c>
      <c r="J18" s="5">
        <f t="shared" si="3"/>
        <v>12.18</v>
      </c>
      <c r="K18" s="5">
        <f t="shared" si="4"/>
        <v>5.93</v>
      </c>
      <c r="L18" s="5">
        <f>VLOOKUP(A18,KenPom!16:1015,6,FALSE)</f>
        <v>18.6</v>
      </c>
      <c r="M18" s="5">
        <f>VLOOKUP(A18,Yahoo!16:1015,6,FALSE)</f>
        <v>6.31</v>
      </c>
      <c r="N18" s="5">
        <f t="shared" si="5"/>
        <v>12.29</v>
      </c>
      <c r="O18" s="5">
        <f t="shared" si="6"/>
        <v>2.29</v>
      </c>
      <c r="P18" s="5">
        <f>VLOOKUP(A18,KenPom!16:1015,7,FALSE)</f>
        <v>7.2</v>
      </c>
      <c r="Q18" s="5">
        <f>VLOOKUP(A18,Yahoo!16:1015,7,FALSE)</f>
        <v>1.92</v>
      </c>
      <c r="R18" s="5">
        <f t="shared" si="7"/>
        <v>5.28</v>
      </c>
      <c r="S18" s="5">
        <f t="shared" si="8"/>
        <v>0.38</v>
      </c>
      <c r="T18" s="5">
        <f>VLOOKUP(A18,KenPom!16:1015,8,FALSE)</f>
        <v>2.5</v>
      </c>
      <c r="U18" s="5">
        <f>VLOOKUP(A18,Yahoo!16:1015,8,FALSE)</f>
        <v>0.62</v>
      </c>
      <c r="V18" s="5">
        <f t="shared" si="9"/>
        <v>1.88</v>
      </c>
      <c r="W18" s="5">
        <f t="shared" si="10"/>
        <v>0.05</v>
      </c>
      <c r="X18" s="5">
        <f>VLOOKUP(A18,KenPom!16:1015,9,FALSE)</f>
        <v>0.8</v>
      </c>
      <c r="Y18" s="5">
        <f>VLOOKUP(A18,Yahoo!16:1015,9,FALSE)</f>
        <v>0.29</v>
      </c>
      <c r="Z18" s="5">
        <f t="shared" si="11"/>
        <v>0.51</v>
      </c>
      <c r="AA18" s="5">
        <f t="shared" si="12"/>
        <v>0</v>
      </c>
    </row>
    <row r="19">
      <c r="A19" s="4" t="s">
        <v>33</v>
      </c>
      <c r="B19" s="4">
        <v>5.0</v>
      </c>
      <c r="C19" s="4" t="s">
        <v>14</v>
      </c>
      <c r="D19" s="5">
        <f>VLOOKUP(A19,KenPom!17:1016,4,FALSE)</f>
        <v>79.6</v>
      </c>
      <c r="E19" s="5">
        <f>VLOOKUP(A19,Yahoo!17:1016,4,FALSE)</f>
        <v>87.6</v>
      </c>
      <c r="F19" s="5">
        <f t="shared" si="1"/>
        <v>-8</v>
      </c>
      <c r="G19" s="5">
        <f t="shared" si="2"/>
        <v>-6.37</v>
      </c>
      <c r="H19" s="5">
        <f>VLOOKUP(A19,KenPom!17:1016,5,FALSE)</f>
        <v>46.5</v>
      </c>
      <c r="I19" s="5">
        <f>VLOOKUP(A19,Yahoo!17:1016,5,FALSE)</f>
        <v>51.62</v>
      </c>
      <c r="J19" s="5">
        <f t="shared" si="3"/>
        <v>-5.12</v>
      </c>
      <c r="K19" s="5">
        <f t="shared" si="4"/>
        <v>-2.38</v>
      </c>
      <c r="L19" s="5">
        <f>VLOOKUP(A19,KenPom!17:1016,6,FALSE)</f>
        <v>12.7</v>
      </c>
      <c r="M19" s="5">
        <f>VLOOKUP(A19,Yahoo!17:1016,6,FALSE)</f>
        <v>9.06</v>
      </c>
      <c r="N19" s="5">
        <f t="shared" si="5"/>
        <v>3.64</v>
      </c>
      <c r="O19" s="5">
        <f t="shared" si="6"/>
        <v>0.46</v>
      </c>
      <c r="P19" s="5">
        <f>VLOOKUP(A19,KenPom!17:1016,7,FALSE)</f>
        <v>6.1</v>
      </c>
      <c r="Q19" s="5">
        <f>VLOOKUP(A19,Yahoo!17:1016,7,FALSE)</f>
        <v>5.2</v>
      </c>
      <c r="R19" s="5">
        <f t="shared" si="7"/>
        <v>0.9</v>
      </c>
      <c r="S19" s="5">
        <f t="shared" si="8"/>
        <v>0.05</v>
      </c>
      <c r="T19" s="5">
        <f>VLOOKUP(A19,KenPom!17:1016,8,FALSE)</f>
        <v>2.1</v>
      </c>
      <c r="U19" s="5">
        <f>VLOOKUP(A19,Yahoo!17:1016,8,FALSE)</f>
        <v>2.41</v>
      </c>
      <c r="V19" s="5">
        <f t="shared" si="9"/>
        <v>-0.31</v>
      </c>
      <c r="W19" s="5">
        <f t="shared" si="10"/>
        <v>-0.01</v>
      </c>
      <c r="X19" s="5">
        <f>VLOOKUP(A19,KenPom!17:1016,9,FALSE)</f>
        <v>0.7</v>
      </c>
      <c r="Y19" s="5">
        <f>VLOOKUP(A19,Yahoo!17:1016,9,FALSE)</f>
        <v>1.15</v>
      </c>
      <c r="Z19" s="5">
        <f t="shared" si="11"/>
        <v>-0.45</v>
      </c>
      <c r="AA19" s="5">
        <f t="shared" si="12"/>
        <v>0</v>
      </c>
    </row>
    <row r="20">
      <c r="A20" s="4" t="s">
        <v>34</v>
      </c>
      <c r="B20" s="4">
        <v>5.0</v>
      </c>
      <c r="C20" s="4" t="s">
        <v>16</v>
      </c>
      <c r="D20" s="5">
        <f>VLOOKUP(A20,KenPom!18:1017,4,FALSE)</f>
        <v>83.3</v>
      </c>
      <c r="E20" s="5">
        <f>VLOOKUP(A20,Yahoo!18:1017,4,FALSE)</f>
        <v>80.7</v>
      </c>
      <c r="F20" s="5">
        <f t="shared" si="1"/>
        <v>2.6</v>
      </c>
      <c r="G20" s="5">
        <f t="shared" si="2"/>
        <v>2.17</v>
      </c>
      <c r="H20" s="5">
        <f>VLOOKUP(A20,KenPom!18:1017,5,FALSE)</f>
        <v>39.3</v>
      </c>
      <c r="I20" s="5">
        <f>VLOOKUP(A20,Yahoo!18:1017,5,FALSE)</f>
        <v>38.02</v>
      </c>
      <c r="J20" s="5">
        <f t="shared" si="3"/>
        <v>1.28</v>
      </c>
      <c r="K20" s="5">
        <f t="shared" si="4"/>
        <v>0.5</v>
      </c>
      <c r="L20" s="5">
        <f>VLOOKUP(A20,KenPom!18:1017,6,FALSE)</f>
        <v>9.2</v>
      </c>
      <c r="M20" s="5">
        <f>VLOOKUP(A20,Yahoo!18:1017,6,FALSE)</f>
        <v>6.87</v>
      </c>
      <c r="N20" s="5">
        <f t="shared" si="5"/>
        <v>2.33</v>
      </c>
      <c r="O20" s="5">
        <f t="shared" si="6"/>
        <v>0.21</v>
      </c>
      <c r="P20" s="5">
        <f>VLOOKUP(A20,KenPom!18:1017,7,FALSE)</f>
        <v>3.6</v>
      </c>
      <c r="Q20" s="5">
        <f>VLOOKUP(A20,Yahoo!18:1017,7,FALSE)</f>
        <v>3.02</v>
      </c>
      <c r="R20" s="5">
        <f t="shared" si="7"/>
        <v>0.58</v>
      </c>
      <c r="S20" s="5">
        <f t="shared" si="8"/>
        <v>0.02</v>
      </c>
      <c r="T20" s="5">
        <f>VLOOKUP(A20,KenPom!18:1017,8,FALSE)</f>
        <v>1.2</v>
      </c>
      <c r="U20" s="5">
        <f>VLOOKUP(A20,Yahoo!18:1017,8,FALSE)</f>
        <v>1.52</v>
      </c>
      <c r="V20" s="5">
        <f t="shared" si="9"/>
        <v>-0.32</v>
      </c>
      <c r="W20" s="5">
        <f t="shared" si="10"/>
        <v>0</v>
      </c>
      <c r="X20" s="5">
        <f>VLOOKUP(A20,KenPom!18:1017,9,FALSE)</f>
        <v>0.3</v>
      </c>
      <c r="Y20" s="5">
        <f>VLOOKUP(A20,Yahoo!18:1017,9,FALSE)</f>
        <v>0.9</v>
      </c>
      <c r="Z20" s="5">
        <f t="shared" si="11"/>
        <v>-0.6</v>
      </c>
      <c r="AA20" s="5">
        <f t="shared" si="12"/>
        <v>0</v>
      </c>
    </row>
    <row r="21">
      <c r="A21" s="4" t="s">
        <v>35</v>
      </c>
      <c r="B21" s="4">
        <v>5.0</v>
      </c>
      <c r="C21" s="4" t="s">
        <v>18</v>
      </c>
      <c r="D21" s="5">
        <f>VLOOKUP(A21,KenPom!19:1018,4,FALSE)</f>
        <v>78.2</v>
      </c>
      <c r="E21" s="5">
        <f>VLOOKUP(A21,Yahoo!19:1018,4,FALSE)</f>
        <v>73.24</v>
      </c>
      <c r="F21" s="5">
        <f t="shared" si="1"/>
        <v>4.96</v>
      </c>
      <c r="G21" s="5">
        <f t="shared" si="2"/>
        <v>3.88</v>
      </c>
      <c r="H21" s="5">
        <f>VLOOKUP(A21,KenPom!19:1018,5,FALSE)</f>
        <v>42</v>
      </c>
      <c r="I21" s="5">
        <f>VLOOKUP(A21,Yahoo!19:1018,5,FALSE)</f>
        <v>33.74</v>
      </c>
      <c r="J21" s="5">
        <f t="shared" si="3"/>
        <v>8.26</v>
      </c>
      <c r="K21" s="5">
        <f t="shared" si="4"/>
        <v>3.47</v>
      </c>
      <c r="L21" s="5">
        <f>VLOOKUP(A21,KenPom!19:1018,6,FALSE)</f>
        <v>11.2</v>
      </c>
      <c r="M21" s="5">
        <f>VLOOKUP(A21,Yahoo!19:1018,6,FALSE)</f>
        <v>4.91</v>
      </c>
      <c r="N21" s="5">
        <f t="shared" si="5"/>
        <v>6.29</v>
      </c>
      <c r="O21" s="5">
        <f t="shared" si="6"/>
        <v>0.7</v>
      </c>
      <c r="P21" s="5">
        <f>VLOOKUP(A21,KenPom!19:1018,7,FALSE)</f>
        <v>4.7</v>
      </c>
      <c r="Q21" s="5">
        <f>VLOOKUP(A21,Yahoo!19:1018,7,FALSE)</f>
        <v>1.84</v>
      </c>
      <c r="R21" s="5">
        <f t="shared" si="7"/>
        <v>2.86</v>
      </c>
      <c r="S21" s="5">
        <f t="shared" si="8"/>
        <v>0.13</v>
      </c>
      <c r="T21" s="5">
        <f>VLOOKUP(A21,KenPom!19:1018,8,FALSE)</f>
        <v>1.6</v>
      </c>
      <c r="U21" s="5">
        <f>VLOOKUP(A21,Yahoo!19:1018,8,FALSE)</f>
        <v>0.59</v>
      </c>
      <c r="V21" s="5">
        <f t="shared" si="9"/>
        <v>1.01</v>
      </c>
      <c r="W21" s="5">
        <f t="shared" si="10"/>
        <v>0.02</v>
      </c>
      <c r="X21" s="5">
        <f>VLOOKUP(A21,KenPom!19:1018,9,FALSE)</f>
        <v>0.5</v>
      </c>
      <c r="Y21" s="5">
        <f>VLOOKUP(A21,Yahoo!19:1018,9,FALSE)</f>
        <v>0.21</v>
      </c>
      <c r="Z21" s="5">
        <f t="shared" si="11"/>
        <v>0.29</v>
      </c>
      <c r="AA21" s="5">
        <f t="shared" si="12"/>
        <v>0</v>
      </c>
    </row>
    <row r="22">
      <c r="A22" s="4" t="s">
        <v>36</v>
      </c>
      <c r="B22" s="4">
        <v>5.0</v>
      </c>
      <c r="C22" s="4" t="s">
        <v>20</v>
      </c>
      <c r="D22" s="5">
        <f>VLOOKUP(A22,KenPom!20:1019,4,FALSE)</f>
        <v>82.3</v>
      </c>
      <c r="E22" s="5">
        <f>VLOOKUP(A22,Yahoo!20:1019,4,FALSE)</f>
        <v>80.87</v>
      </c>
      <c r="F22" s="5">
        <f t="shared" si="1"/>
        <v>1.43</v>
      </c>
      <c r="G22" s="5">
        <f t="shared" si="2"/>
        <v>1.18</v>
      </c>
      <c r="H22" s="5">
        <f>VLOOKUP(A22,KenPom!20:1019,5,FALSE)</f>
        <v>46.3</v>
      </c>
      <c r="I22" s="5">
        <f>VLOOKUP(A22,Yahoo!20:1019,5,FALSE)</f>
        <v>53.24</v>
      </c>
      <c r="J22" s="5">
        <f t="shared" si="3"/>
        <v>-6.94</v>
      </c>
      <c r="K22" s="5">
        <f t="shared" si="4"/>
        <v>-3.21</v>
      </c>
      <c r="L22" s="5">
        <f>VLOOKUP(A22,KenPom!20:1019,6,FALSE)</f>
        <v>19</v>
      </c>
      <c r="M22" s="5">
        <f>VLOOKUP(A22,Yahoo!20:1019,6,FALSE)</f>
        <v>10.57</v>
      </c>
      <c r="N22" s="5">
        <f t="shared" si="5"/>
        <v>8.43</v>
      </c>
      <c r="O22" s="5">
        <f t="shared" si="6"/>
        <v>1.6</v>
      </c>
      <c r="P22" s="5">
        <f>VLOOKUP(A22,KenPom!20:1019,7,FALSE)</f>
        <v>8</v>
      </c>
      <c r="Q22" s="5">
        <f>VLOOKUP(A22,Yahoo!20:1019,7,FALSE)</f>
        <v>2.87</v>
      </c>
      <c r="R22" s="5">
        <f t="shared" si="7"/>
        <v>5.13</v>
      </c>
      <c r="S22" s="5">
        <f t="shared" si="8"/>
        <v>0.41</v>
      </c>
      <c r="T22" s="5">
        <f>VLOOKUP(A22,KenPom!20:1019,8,FALSE)</f>
        <v>3</v>
      </c>
      <c r="U22" s="5">
        <f>VLOOKUP(A22,Yahoo!20:1019,8,FALSE)</f>
        <v>0.73</v>
      </c>
      <c r="V22" s="5">
        <f t="shared" si="9"/>
        <v>2.27</v>
      </c>
      <c r="W22" s="5">
        <f t="shared" si="10"/>
        <v>0.07</v>
      </c>
      <c r="X22" s="5">
        <f>VLOOKUP(A22,KenPom!20:1019,9,FALSE)</f>
        <v>1</v>
      </c>
      <c r="Y22" s="5">
        <f>VLOOKUP(A22,Yahoo!20:1019,9,FALSE)</f>
        <v>0.26</v>
      </c>
      <c r="Z22" s="5">
        <f t="shared" si="11"/>
        <v>0.74</v>
      </c>
      <c r="AA22" s="5">
        <f t="shared" si="12"/>
        <v>0.01</v>
      </c>
    </row>
    <row r="23">
      <c r="A23" s="4" t="s">
        <v>37</v>
      </c>
      <c r="B23" s="4">
        <v>6.0</v>
      </c>
      <c r="C23" s="4" t="s">
        <v>14</v>
      </c>
      <c r="D23" s="5">
        <f>VLOOKUP(A23,KenPom!21:1020,4,FALSE)</f>
        <v>72.3</v>
      </c>
      <c r="E23" s="5">
        <f>VLOOKUP(A23,Yahoo!21:1020,4,FALSE)</f>
        <v>64.54</v>
      </c>
      <c r="F23" s="5">
        <f t="shared" si="1"/>
        <v>7.76</v>
      </c>
      <c r="G23" s="5">
        <f t="shared" si="2"/>
        <v>5.61</v>
      </c>
      <c r="H23" s="5">
        <f>VLOOKUP(A23,KenPom!21:1020,5,FALSE)</f>
        <v>33.9</v>
      </c>
      <c r="I23" s="5">
        <f>VLOOKUP(A23,Yahoo!21:1020,5,FALSE)</f>
        <v>18.24</v>
      </c>
      <c r="J23" s="5">
        <f t="shared" si="3"/>
        <v>15.66</v>
      </c>
      <c r="K23" s="5">
        <f t="shared" si="4"/>
        <v>5.31</v>
      </c>
      <c r="L23" s="5">
        <f>VLOOKUP(A23,KenPom!21:1020,6,FALSE)</f>
        <v>17.2</v>
      </c>
      <c r="M23" s="5">
        <f>VLOOKUP(A23,Yahoo!21:1020,6,FALSE)</f>
        <v>7.24</v>
      </c>
      <c r="N23" s="5">
        <f t="shared" si="5"/>
        <v>9.96</v>
      </c>
      <c r="O23" s="5">
        <f t="shared" si="6"/>
        <v>1.71</v>
      </c>
      <c r="P23" s="5">
        <f>VLOOKUP(A23,KenPom!21:1020,7,FALSE)</f>
        <v>5.3</v>
      </c>
      <c r="Q23" s="5">
        <f>VLOOKUP(A23,Yahoo!21:1020,7,FALSE)</f>
        <v>0.68</v>
      </c>
      <c r="R23" s="5">
        <f t="shared" si="7"/>
        <v>4.62</v>
      </c>
      <c r="S23" s="5">
        <f t="shared" si="8"/>
        <v>0.24</v>
      </c>
      <c r="T23" s="5">
        <f>VLOOKUP(A23,KenPom!21:1020,8,FALSE)</f>
        <v>1.7</v>
      </c>
      <c r="U23" s="5">
        <f>VLOOKUP(A23,Yahoo!21:1020,8,FALSE)</f>
        <v>0.25</v>
      </c>
      <c r="V23" s="5">
        <f t="shared" si="9"/>
        <v>1.45</v>
      </c>
      <c r="W23" s="5">
        <f t="shared" si="10"/>
        <v>0.02</v>
      </c>
      <c r="X23" s="5">
        <f>VLOOKUP(A23,KenPom!21:1020,9,FALSE)</f>
        <v>0.5</v>
      </c>
      <c r="Y23" s="5">
        <f>VLOOKUP(A23,Yahoo!21:1020,9,FALSE)</f>
        <v>0.11</v>
      </c>
      <c r="Z23" s="5">
        <f t="shared" si="11"/>
        <v>0.39</v>
      </c>
      <c r="AA23" s="5">
        <f t="shared" si="12"/>
        <v>0</v>
      </c>
    </row>
    <row r="24">
      <c r="A24" s="4" t="s">
        <v>38</v>
      </c>
      <c r="B24" s="4">
        <v>6.0</v>
      </c>
      <c r="C24" s="4" t="s">
        <v>16</v>
      </c>
      <c r="D24" s="5">
        <f>VLOOKUP(A24,KenPom!22:1021,4,FALSE)</f>
        <v>60</v>
      </c>
      <c r="E24" s="5">
        <f>VLOOKUP(A24,Yahoo!22:1021,4,FALSE)</f>
        <v>78.9</v>
      </c>
      <c r="F24" s="5">
        <f t="shared" si="1"/>
        <v>-18.9</v>
      </c>
      <c r="G24" s="5">
        <f t="shared" si="2"/>
        <v>-11.34</v>
      </c>
      <c r="H24" s="5">
        <f>VLOOKUP(A24,KenPom!22:1021,5,FALSE)</f>
        <v>23.8</v>
      </c>
      <c r="I24" s="5">
        <f>VLOOKUP(A24,Yahoo!22:1021,5,FALSE)</f>
        <v>27.54</v>
      </c>
      <c r="J24" s="5">
        <f t="shared" si="3"/>
        <v>-3.74</v>
      </c>
      <c r="K24" s="5">
        <f t="shared" si="4"/>
        <v>-0.89</v>
      </c>
      <c r="L24" s="5">
        <f>VLOOKUP(A24,KenPom!22:1021,6,FALSE)</f>
        <v>9.3</v>
      </c>
      <c r="M24" s="5">
        <f>VLOOKUP(A24,Yahoo!22:1021,6,FALSE)</f>
        <v>11.44</v>
      </c>
      <c r="N24" s="5">
        <f t="shared" si="5"/>
        <v>-2.14</v>
      </c>
      <c r="O24" s="5">
        <f t="shared" si="6"/>
        <v>-0.2</v>
      </c>
      <c r="P24" s="5">
        <f>VLOOKUP(A24,KenPom!22:1021,7,FALSE)</f>
        <v>2.5</v>
      </c>
      <c r="Q24" s="5">
        <f>VLOOKUP(A24,Yahoo!22:1021,7,FALSE)</f>
        <v>1.71</v>
      </c>
      <c r="R24" s="5">
        <f t="shared" si="7"/>
        <v>0.79</v>
      </c>
      <c r="S24" s="5">
        <f t="shared" si="8"/>
        <v>0.02</v>
      </c>
      <c r="T24" s="5">
        <f>VLOOKUP(A24,KenPom!22:1021,8,FALSE)</f>
        <v>0.8</v>
      </c>
      <c r="U24" s="5">
        <f>VLOOKUP(A24,Yahoo!22:1021,8,FALSE)</f>
        <v>0.79</v>
      </c>
      <c r="V24" s="5">
        <f t="shared" si="9"/>
        <v>0.01</v>
      </c>
      <c r="W24" s="5">
        <f t="shared" si="10"/>
        <v>0</v>
      </c>
      <c r="X24" s="5">
        <f>VLOOKUP(A24,KenPom!22:1021,9,FALSE)</f>
        <v>0.2</v>
      </c>
      <c r="Y24" s="5">
        <f>VLOOKUP(A24,Yahoo!22:1021,9,FALSE)</f>
        <v>0.31</v>
      </c>
      <c r="Z24" s="5">
        <f t="shared" si="11"/>
        <v>-0.11</v>
      </c>
      <c r="AA24" s="5">
        <f t="shared" si="12"/>
        <v>0</v>
      </c>
    </row>
    <row r="25">
      <c r="A25" s="4" t="s">
        <v>39</v>
      </c>
      <c r="B25" s="4">
        <v>6.0</v>
      </c>
      <c r="C25" s="4" t="s">
        <v>18</v>
      </c>
      <c r="D25" s="5">
        <f>VLOOKUP(A25,KenPom!23:1022,4,FALSE)</f>
        <v>73.1</v>
      </c>
      <c r="E25" s="5">
        <f>VLOOKUP(A25,Yahoo!23:1022,4,FALSE)</f>
        <v>82.59</v>
      </c>
      <c r="F25" s="5">
        <f t="shared" si="1"/>
        <v>-9.49</v>
      </c>
      <c r="G25" s="5">
        <f t="shared" si="2"/>
        <v>-6.94</v>
      </c>
      <c r="H25" s="5">
        <f>VLOOKUP(A25,KenPom!23:1022,5,FALSE)</f>
        <v>37.6</v>
      </c>
      <c r="I25" s="5">
        <f>VLOOKUP(A25,Yahoo!23:1022,5,FALSE)</f>
        <v>31.55</v>
      </c>
      <c r="J25" s="5">
        <f t="shared" si="3"/>
        <v>6.05</v>
      </c>
      <c r="K25" s="5">
        <f t="shared" si="4"/>
        <v>2.27</v>
      </c>
      <c r="L25" s="5">
        <f>VLOOKUP(A25,KenPom!23:1022,6,FALSE)</f>
        <v>15.8</v>
      </c>
      <c r="M25" s="5">
        <f>VLOOKUP(A25,Yahoo!23:1022,6,FALSE)</f>
        <v>11.99</v>
      </c>
      <c r="N25" s="5">
        <f t="shared" si="5"/>
        <v>3.81</v>
      </c>
      <c r="O25" s="5">
        <f t="shared" si="6"/>
        <v>0.6</v>
      </c>
      <c r="P25" s="5">
        <f>VLOOKUP(A25,KenPom!23:1022,7,FALSE)</f>
        <v>5.1</v>
      </c>
      <c r="Q25" s="5">
        <f>VLOOKUP(A25,Yahoo!23:1022,7,FALSE)</f>
        <v>1.8</v>
      </c>
      <c r="R25" s="5">
        <f t="shared" si="7"/>
        <v>3.3</v>
      </c>
      <c r="S25" s="5">
        <f t="shared" si="8"/>
        <v>0.17</v>
      </c>
      <c r="T25" s="5">
        <f>VLOOKUP(A25,KenPom!23:1022,8,FALSE)</f>
        <v>1.8</v>
      </c>
      <c r="U25" s="5">
        <f>VLOOKUP(A25,Yahoo!23:1022,8,FALSE)</f>
        <v>0.61</v>
      </c>
      <c r="V25" s="5">
        <f t="shared" si="9"/>
        <v>1.19</v>
      </c>
      <c r="W25" s="5">
        <f t="shared" si="10"/>
        <v>0.02</v>
      </c>
      <c r="X25" s="5">
        <f>VLOOKUP(A25,KenPom!23:1022,9,FALSE)</f>
        <v>0.6</v>
      </c>
      <c r="Y25" s="5">
        <f>VLOOKUP(A25,Yahoo!23:1022,9,FALSE)</f>
        <v>0.24</v>
      </c>
      <c r="Z25" s="5">
        <f t="shared" si="11"/>
        <v>0.36</v>
      </c>
      <c r="AA25" s="5">
        <f t="shared" si="12"/>
        <v>0</v>
      </c>
    </row>
    <row r="26">
      <c r="A26" s="4" t="s">
        <v>40</v>
      </c>
      <c r="B26" s="4">
        <v>6.0</v>
      </c>
      <c r="C26" s="4" t="s">
        <v>20</v>
      </c>
      <c r="D26" s="5">
        <f>VLOOKUP(A26,KenPom!24:1023,4,FALSE)</f>
        <v>58.9</v>
      </c>
      <c r="E26" s="5">
        <f>VLOOKUP(A26,Yahoo!24:1023,4,FALSE)</f>
        <v>69.27</v>
      </c>
      <c r="F26" s="5">
        <f t="shared" si="1"/>
        <v>-10.37</v>
      </c>
      <c r="G26" s="5">
        <f t="shared" si="2"/>
        <v>-6.11</v>
      </c>
      <c r="H26" s="5">
        <f>VLOOKUP(A26,KenPom!24:1023,5,FALSE)</f>
        <v>15.7</v>
      </c>
      <c r="I26" s="5">
        <f>VLOOKUP(A26,Yahoo!24:1023,5,FALSE)</f>
        <v>29.2</v>
      </c>
      <c r="J26" s="5">
        <f t="shared" si="3"/>
        <v>-13.5</v>
      </c>
      <c r="K26" s="5">
        <f t="shared" si="4"/>
        <v>-2.12</v>
      </c>
      <c r="L26" s="5">
        <f>VLOOKUP(A26,KenPom!24:1023,6,FALSE)</f>
        <v>4.7</v>
      </c>
      <c r="M26" s="5">
        <f>VLOOKUP(A26,Yahoo!24:1023,6,FALSE)</f>
        <v>12.72</v>
      </c>
      <c r="N26" s="5">
        <f t="shared" si="5"/>
        <v>-8.02</v>
      </c>
      <c r="O26" s="5">
        <f t="shared" si="6"/>
        <v>-0.38</v>
      </c>
      <c r="P26" s="5">
        <f>VLOOKUP(A26,KenPom!24:1023,7,FALSE)</f>
        <v>1.4</v>
      </c>
      <c r="Q26" s="5">
        <f>VLOOKUP(A26,Yahoo!24:1023,7,FALSE)</f>
        <v>4.3</v>
      </c>
      <c r="R26" s="5">
        <f t="shared" si="7"/>
        <v>-2.9</v>
      </c>
      <c r="S26" s="5">
        <f t="shared" si="8"/>
        <v>-0.04</v>
      </c>
      <c r="T26" s="5">
        <f>VLOOKUP(A26,KenPom!24:1023,8,FALSE)</f>
        <v>0.4</v>
      </c>
      <c r="U26" s="5">
        <f>VLOOKUP(A26,Yahoo!24:1023,8,FALSE)</f>
        <v>1.04</v>
      </c>
      <c r="V26" s="5">
        <f t="shared" si="9"/>
        <v>-0.64</v>
      </c>
      <c r="W26" s="5">
        <f t="shared" si="10"/>
        <v>0</v>
      </c>
      <c r="X26" s="5">
        <f>VLOOKUP(A26,KenPom!24:1023,9,FALSE)</f>
        <v>0.07</v>
      </c>
      <c r="Y26" s="5">
        <f>VLOOKUP(A26,Yahoo!24:1023,9,FALSE)</f>
        <v>0.51</v>
      </c>
      <c r="Z26" s="5">
        <f t="shared" si="11"/>
        <v>-0.44</v>
      </c>
      <c r="AA26" s="5">
        <f t="shared" si="12"/>
        <v>0</v>
      </c>
    </row>
    <row r="27">
      <c r="A27" s="4" t="s">
        <v>41</v>
      </c>
      <c r="B27" s="4">
        <v>7.0</v>
      </c>
      <c r="C27" s="4" t="s">
        <v>14</v>
      </c>
      <c r="D27" s="5">
        <f>VLOOKUP(A27,KenPom!25:1024,4,FALSE)</f>
        <v>65.8</v>
      </c>
      <c r="E27" s="5">
        <f>VLOOKUP(A27,Yahoo!25:1024,4,FALSE)</f>
        <v>67.25</v>
      </c>
      <c r="F27" s="5">
        <f t="shared" si="1"/>
        <v>-1.45</v>
      </c>
      <c r="G27" s="5">
        <f t="shared" si="2"/>
        <v>-0.95</v>
      </c>
      <c r="H27" s="5">
        <f>VLOOKUP(A27,KenPom!25:1024,5,FALSE)</f>
        <v>25.1</v>
      </c>
      <c r="I27" s="5">
        <f>VLOOKUP(A27,Yahoo!25:1024,5,FALSE)</f>
        <v>17.41</v>
      </c>
      <c r="J27" s="5">
        <f t="shared" si="3"/>
        <v>7.69</v>
      </c>
      <c r="K27" s="5">
        <f t="shared" si="4"/>
        <v>1.93</v>
      </c>
      <c r="L27" s="5">
        <f>VLOOKUP(A27,KenPom!25:1024,6,FALSE)</f>
        <v>10</v>
      </c>
      <c r="M27" s="5">
        <f>VLOOKUP(A27,Yahoo!25:1024,6,FALSE)</f>
        <v>6.09</v>
      </c>
      <c r="N27" s="5">
        <f t="shared" si="5"/>
        <v>3.91</v>
      </c>
      <c r="O27" s="5">
        <f t="shared" si="6"/>
        <v>0.39</v>
      </c>
      <c r="P27" s="5">
        <f>VLOOKUP(A27,KenPom!25:1024,7,FALSE)</f>
        <v>2.5</v>
      </c>
      <c r="Q27" s="5">
        <f>VLOOKUP(A27,Yahoo!25:1024,7,FALSE)</f>
        <v>0.95</v>
      </c>
      <c r="R27" s="5">
        <f t="shared" si="7"/>
        <v>1.55</v>
      </c>
      <c r="S27" s="5">
        <f t="shared" si="8"/>
        <v>0.04</v>
      </c>
      <c r="T27" s="5">
        <f>VLOOKUP(A27,KenPom!25:1024,8,FALSE)</f>
        <v>0.7</v>
      </c>
      <c r="U27" s="5">
        <f>VLOOKUP(A27,Yahoo!25:1024,8,FALSE)</f>
        <v>0.47</v>
      </c>
      <c r="V27" s="5">
        <f t="shared" si="9"/>
        <v>0.23</v>
      </c>
      <c r="W27" s="5">
        <f t="shared" si="10"/>
        <v>0</v>
      </c>
      <c r="X27" s="5">
        <f>VLOOKUP(A27,KenPom!25:1024,9,FALSE)</f>
        <v>0.2</v>
      </c>
      <c r="Y27" s="5">
        <f>VLOOKUP(A27,Yahoo!25:1024,9,FALSE)</f>
        <v>0.26</v>
      </c>
      <c r="Z27" s="5">
        <f t="shared" si="11"/>
        <v>-0.06</v>
      </c>
      <c r="AA27" s="5">
        <f t="shared" si="12"/>
        <v>0</v>
      </c>
    </row>
    <row r="28">
      <c r="A28" s="4" t="s">
        <v>42</v>
      </c>
      <c r="B28" s="4">
        <v>7.0</v>
      </c>
      <c r="C28" s="4" t="s">
        <v>16</v>
      </c>
      <c r="D28" s="5">
        <f>VLOOKUP(A28,KenPom!26:1025,4,FALSE)</f>
        <v>62.7</v>
      </c>
      <c r="E28" s="5">
        <f>VLOOKUP(A28,Yahoo!26:1025,4,FALSE)</f>
        <v>60.84</v>
      </c>
      <c r="F28" s="5">
        <f t="shared" si="1"/>
        <v>1.86</v>
      </c>
      <c r="G28" s="5">
        <f t="shared" si="2"/>
        <v>1.17</v>
      </c>
      <c r="H28" s="5">
        <f>VLOOKUP(A28,KenPom!26:1025,5,FALSE)</f>
        <v>17.5</v>
      </c>
      <c r="I28" s="5">
        <f>VLOOKUP(A28,Yahoo!26:1025,5,FALSE)</f>
        <v>14.81</v>
      </c>
      <c r="J28" s="5">
        <f t="shared" si="3"/>
        <v>2.69</v>
      </c>
      <c r="K28" s="5">
        <f t="shared" si="4"/>
        <v>0.47</v>
      </c>
      <c r="L28" s="5">
        <f>VLOOKUP(A28,KenPom!26:1025,6,FALSE)</f>
        <v>6.6</v>
      </c>
      <c r="M28" s="5">
        <f>VLOOKUP(A28,Yahoo!26:1025,6,FALSE)</f>
        <v>4.75</v>
      </c>
      <c r="N28" s="5">
        <f t="shared" si="5"/>
        <v>1.85</v>
      </c>
      <c r="O28" s="5">
        <f t="shared" si="6"/>
        <v>0.12</v>
      </c>
      <c r="P28" s="5">
        <f>VLOOKUP(A28,KenPom!26:1025,7,FALSE)</f>
        <v>1.6</v>
      </c>
      <c r="Q28" s="5">
        <f>VLOOKUP(A28,Yahoo!26:1025,7,FALSE)</f>
        <v>1.36</v>
      </c>
      <c r="R28" s="5">
        <f t="shared" si="7"/>
        <v>0.24</v>
      </c>
      <c r="S28" s="5">
        <f t="shared" si="8"/>
        <v>0</v>
      </c>
      <c r="T28" s="5">
        <f>VLOOKUP(A28,KenPom!26:1025,8,FALSE)</f>
        <v>0.4</v>
      </c>
      <c r="U28" s="5">
        <f>VLOOKUP(A28,Yahoo!26:1025,8,FALSE)</f>
        <v>0.48</v>
      </c>
      <c r="V28" s="5">
        <f t="shared" si="9"/>
        <v>-0.08</v>
      </c>
      <c r="W28" s="5">
        <f t="shared" si="10"/>
        <v>0</v>
      </c>
      <c r="X28" s="5">
        <f>VLOOKUP(A28,KenPom!26:1025,9,FALSE)</f>
        <v>0.08</v>
      </c>
      <c r="Y28" s="5">
        <f>VLOOKUP(A28,Yahoo!26:1025,9,FALSE)</f>
        <v>0.21</v>
      </c>
      <c r="Z28" s="5">
        <f t="shared" si="11"/>
        <v>-0.13</v>
      </c>
      <c r="AA28" s="5">
        <f t="shared" si="12"/>
        <v>0</v>
      </c>
    </row>
    <row r="29">
      <c r="A29" s="4" t="s">
        <v>43</v>
      </c>
      <c r="B29" s="4">
        <v>7.0</v>
      </c>
      <c r="C29" s="4" t="s">
        <v>18</v>
      </c>
      <c r="D29" s="5">
        <f>VLOOKUP(A29,KenPom!27:1026,4,FALSE)</f>
        <v>55.5</v>
      </c>
      <c r="E29" s="5">
        <f>VLOOKUP(A29,Yahoo!27:1026,4,FALSE)</f>
        <v>65.63</v>
      </c>
      <c r="F29" s="5">
        <f t="shared" si="1"/>
        <v>-10.13</v>
      </c>
      <c r="G29" s="5">
        <f t="shared" si="2"/>
        <v>-5.62</v>
      </c>
      <c r="H29" s="5">
        <f>VLOOKUP(A29,KenPom!27:1026,5,FALSE)</f>
        <v>14.6</v>
      </c>
      <c r="I29" s="5">
        <f>VLOOKUP(A29,Yahoo!27:1026,5,FALSE)</f>
        <v>20.83</v>
      </c>
      <c r="J29" s="5">
        <f t="shared" si="3"/>
        <v>-6.23</v>
      </c>
      <c r="K29" s="5">
        <f t="shared" si="4"/>
        <v>-0.91</v>
      </c>
      <c r="L29" s="5">
        <f>VLOOKUP(A29,KenPom!27:1026,6,FALSE)</f>
        <v>6</v>
      </c>
      <c r="M29" s="5">
        <f>VLOOKUP(A29,Yahoo!27:1026,6,FALSE)</f>
        <v>8.35</v>
      </c>
      <c r="N29" s="5">
        <f t="shared" si="5"/>
        <v>-2.35</v>
      </c>
      <c r="O29" s="5">
        <f t="shared" si="6"/>
        <v>-0.14</v>
      </c>
      <c r="P29" s="5">
        <f>VLOOKUP(A29,KenPom!27:1026,7,FALSE)</f>
        <v>1.3</v>
      </c>
      <c r="Q29" s="5">
        <f>VLOOKUP(A29,Yahoo!27:1026,7,FALSE)</f>
        <v>2.98</v>
      </c>
      <c r="R29" s="5">
        <f t="shared" si="7"/>
        <v>-1.68</v>
      </c>
      <c r="S29" s="5">
        <f t="shared" si="8"/>
        <v>-0.02</v>
      </c>
      <c r="T29" s="5">
        <f>VLOOKUP(A29,KenPom!27:1026,8,FALSE)</f>
        <v>0.3</v>
      </c>
      <c r="U29" s="5">
        <f>VLOOKUP(A29,Yahoo!27:1026,8,FALSE)</f>
        <v>1.62</v>
      </c>
      <c r="V29" s="5">
        <f t="shared" si="9"/>
        <v>-1.32</v>
      </c>
      <c r="W29" s="5">
        <f t="shared" si="10"/>
        <v>0</v>
      </c>
      <c r="X29" s="5">
        <f>VLOOKUP(A29,KenPom!27:1026,9,FALSE)</f>
        <v>0.08</v>
      </c>
      <c r="Y29" s="5">
        <f>VLOOKUP(A29,Yahoo!27:1026,9,FALSE)</f>
        <v>0.38</v>
      </c>
      <c r="Z29" s="5">
        <f t="shared" si="11"/>
        <v>-0.3</v>
      </c>
      <c r="AA29" s="5">
        <f t="shared" si="12"/>
        <v>0</v>
      </c>
    </row>
    <row r="30">
      <c r="A30" s="4" t="s">
        <v>44</v>
      </c>
      <c r="B30" s="4">
        <v>7.0</v>
      </c>
      <c r="C30" s="4" t="s">
        <v>20</v>
      </c>
      <c r="D30" s="5">
        <f>VLOOKUP(A30,KenPom!28:1027,4,FALSE)</f>
        <v>60.4</v>
      </c>
      <c r="E30" s="5">
        <f>VLOOKUP(A30,Yahoo!28:1027,4,FALSE)</f>
        <v>50.99</v>
      </c>
      <c r="F30" s="5">
        <f t="shared" si="1"/>
        <v>9.41</v>
      </c>
      <c r="G30" s="5">
        <f t="shared" si="2"/>
        <v>5.68</v>
      </c>
      <c r="H30" s="5">
        <f>VLOOKUP(A30,KenPom!28:1027,5,FALSE)</f>
        <v>17.9</v>
      </c>
      <c r="I30" s="5">
        <f>VLOOKUP(A30,Yahoo!28:1027,5,FALSE)</f>
        <v>8.48</v>
      </c>
      <c r="J30" s="5">
        <f t="shared" si="3"/>
        <v>9.42</v>
      </c>
      <c r="K30" s="5">
        <f t="shared" si="4"/>
        <v>1.69</v>
      </c>
      <c r="L30" s="5">
        <f>VLOOKUP(A30,KenPom!28:1027,6,FALSE)</f>
        <v>6.6</v>
      </c>
      <c r="M30" s="5">
        <f>VLOOKUP(A30,Yahoo!28:1027,6,FALSE)</f>
        <v>1.88</v>
      </c>
      <c r="N30" s="5">
        <f t="shared" si="5"/>
        <v>4.72</v>
      </c>
      <c r="O30" s="5">
        <f t="shared" si="6"/>
        <v>0.31</v>
      </c>
      <c r="P30" s="5">
        <f>VLOOKUP(A30,KenPom!28:1027,7,FALSE)</f>
        <v>2.2</v>
      </c>
      <c r="Q30" s="5">
        <f>VLOOKUP(A30,Yahoo!28:1027,7,FALSE)</f>
        <v>0.6</v>
      </c>
      <c r="R30" s="5">
        <f t="shared" si="7"/>
        <v>1.6</v>
      </c>
      <c r="S30" s="5">
        <f t="shared" si="8"/>
        <v>0.04</v>
      </c>
      <c r="T30" s="5">
        <f>VLOOKUP(A30,KenPom!28:1027,8,FALSE)</f>
        <v>0.7</v>
      </c>
      <c r="U30" s="5">
        <f>VLOOKUP(A30,Yahoo!28:1027,8,FALSE)</f>
        <v>0.16</v>
      </c>
      <c r="V30" s="5">
        <f t="shared" si="9"/>
        <v>0.54</v>
      </c>
      <c r="W30" s="5">
        <f t="shared" si="10"/>
        <v>0</v>
      </c>
      <c r="X30" s="5">
        <f>VLOOKUP(A30,KenPom!28:1027,9,FALSE)</f>
        <v>0.2</v>
      </c>
      <c r="Y30" s="5">
        <f>VLOOKUP(A30,Yahoo!28:1027,9,FALSE)</f>
        <v>0.06</v>
      </c>
      <c r="Z30" s="5">
        <f t="shared" si="11"/>
        <v>0.14</v>
      </c>
      <c r="AA30" s="5">
        <f t="shared" si="12"/>
        <v>0</v>
      </c>
    </row>
    <row r="31">
      <c r="A31" s="4" t="s">
        <v>45</v>
      </c>
      <c r="B31" s="4">
        <v>8.0</v>
      </c>
      <c r="C31" s="4" t="s">
        <v>14</v>
      </c>
      <c r="D31" s="5">
        <f>VLOOKUP(A31,KenPom!29:1028,4,FALSE)</f>
        <v>61</v>
      </c>
      <c r="E31" s="5">
        <f>VLOOKUP(A31,Yahoo!29:1028,4,FALSE)</f>
        <v>59.53</v>
      </c>
      <c r="F31" s="5">
        <f t="shared" si="1"/>
        <v>1.47</v>
      </c>
      <c r="G31" s="5">
        <f t="shared" si="2"/>
        <v>0.9</v>
      </c>
      <c r="H31" s="5">
        <f>VLOOKUP(A31,KenPom!29:1028,5,FALSE)</f>
        <v>10.3</v>
      </c>
      <c r="I31" s="5">
        <f>VLOOKUP(A31,Yahoo!29:1028,5,FALSE)</f>
        <v>3.21</v>
      </c>
      <c r="J31" s="5">
        <f t="shared" si="3"/>
        <v>7.09</v>
      </c>
      <c r="K31" s="5">
        <f t="shared" si="4"/>
        <v>0.73</v>
      </c>
      <c r="L31" s="5">
        <f>VLOOKUP(A31,KenPom!29:1028,6,FALSE)</f>
        <v>4.7</v>
      </c>
      <c r="M31" s="5">
        <f>VLOOKUP(A31,Yahoo!29:1028,6,FALSE)</f>
        <v>1.72</v>
      </c>
      <c r="N31" s="5">
        <f t="shared" si="5"/>
        <v>2.98</v>
      </c>
      <c r="O31" s="5">
        <f t="shared" si="6"/>
        <v>0.14</v>
      </c>
      <c r="P31" s="5">
        <f>VLOOKUP(A31,KenPom!29:1028,7,FALSE)</f>
        <v>1.9</v>
      </c>
      <c r="Q31" s="5">
        <f>VLOOKUP(A31,Yahoo!29:1028,7,FALSE)</f>
        <v>1.03</v>
      </c>
      <c r="R31" s="5">
        <f t="shared" si="7"/>
        <v>0.87</v>
      </c>
      <c r="S31" s="5">
        <f t="shared" si="8"/>
        <v>0.02</v>
      </c>
      <c r="T31" s="5">
        <f>VLOOKUP(A31,KenPom!29:1028,8,FALSE)</f>
        <v>0.5</v>
      </c>
      <c r="U31" s="5">
        <f>VLOOKUP(A31,Yahoo!29:1028,8,FALSE)</f>
        <v>0.34</v>
      </c>
      <c r="V31" s="5">
        <f t="shared" si="9"/>
        <v>0.16</v>
      </c>
      <c r="W31" s="5">
        <f t="shared" si="10"/>
        <v>0</v>
      </c>
      <c r="X31" s="5">
        <f>VLOOKUP(A31,KenPom!29:1028,9,FALSE)</f>
        <v>0.1</v>
      </c>
      <c r="Y31" s="5">
        <f>VLOOKUP(A31,Yahoo!29:1028,9,FALSE)</f>
        <v>0.2</v>
      </c>
      <c r="Z31" s="5">
        <f t="shared" si="11"/>
        <v>-0.1</v>
      </c>
      <c r="AA31" s="5">
        <f t="shared" si="12"/>
        <v>0</v>
      </c>
    </row>
    <row r="32">
      <c r="A32" s="4" t="s">
        <v>46</v>
      </c>
      <c r="B32" s="4">
        <v>8.0</v>
      </c>
      <c r="C32" s="4" t="s">
        <v>16</v>
      </c>
      <c r="D32" s="5">
        <f>VLOOKUP(A32,KenPom!30:1029,4,FALSE)</f>
        <v>47.7</v>
      </c>
      <c r="E32" s="5">
        <f>VLOOKUP(A32,Yahoo!30:1029,4,FALSE)</f>
        <v>54.46</v>
      </c>
      <c r="F32" s="5">
        <f t="shared" si="1"/>
        <v>-6.76</v>
      </c>
      <c r="G32" s="5">
        <f t="shared" si="2"/>
        <v>-3.22</v>
      </c>
      <c r="H32" s="5">
        <f>VLOOKUP(A32,KenPom!30:1029,5,FALSE)</f>
        <v>6.8</v>
      </c>
      <c r="I32" s="5">
        <f>VLOOKUP(A32,Yahoo!30:1029,5,FALSE)</f>
        <v>4.78</v>
      </c>
      <c r="J32" s="5">
        <f t="shared" si="3"/>
        <v>2.02</v>
      </c>
      <c r="K32" s="5">
        <f t="shared" si="4"/>
        <v>0.14</v>
      </c>
      <c r="L32" s="5">
        <f>VLOOKUP(A32,KenPom!30:1029,6,FALSE)</f>
        <v>2.7</v>
      </c>
      <c r="M32" s="5">
        <f>VLOOKUP(A32,Yahoo!30:1029,6,FALSE)</f>
        <v>2.56</v>
      </c>
      <c r="N32" s="5">
        <f t="shared" si="5"/>
        <v>0.14</v>
      </c>
      <c r="O32" s="5">
        <f t="shared" si="6"/>
        <v>0</v>
      </c>
      <c r="P32" s="5">
        <f>VLOOKUP(A32,KenPom!30:1029,7,FALSE)</f>
        <v>0.8</v>
      </c>
      <c r="Q32" s="5">
        <f>VLOOKUP(A32,Yahoo!30:1029,7,FALSE)</f>
        <v>0.83</v>
      </c>
      <c r="R32" s="5">
        <f t="shared" si="7"/>
        <v>-0.03</v>
      </c>
      <c r="S32" s="5">
        <f t="shared" si="8"/>
        <v>0</v>
      </c>
      <c r="T32" s="5">
        <f>VLOOKUP(A32,KenPom!30:1029,8,FALSE)</f>
        <v>0.2</v>
      </c>
      <c r="U32" s="5">
        <f>VLOOKUP(A32,Yahoo!30:1029,8,FALSE)</f>
        <v>0.4</v>
      </c>
      <c r="V32" s="5">
        <f t="shared" si="9"/>
        <v>-0.2</v>
      </c>
      <c r="W32" s="5">
        <f t="shared" si="10"/>
        <v>0</v>
      </c>
      <c r="X32" s="5">
        <f>VLOOKUP(A32,KenPom!30:1029,9,FALSE)</f>
        <v>0.05</v>
      </c>
      <c r="Y32" s="5">
        <f>VLOOKUP(A32,Yahoo!30:1029,9,FALSE)</f>
        <v>0.16</v>
      </c>
      <c r="Z32" s="5">
        <f t="shared" si="11"/>
        <v>-0.11</v>
      </c>
      <c r="AA32" s="5">
        <f t="shared" si="12"/>
        <v>0</v>
      </c>
    </row>
    <row r="33">
      <c r="A33" s="4" t="s">
        <v>47</v>
      </c>
      <c r="B33" s="4">
        <v>8.0</v>
      </c>
      <c r="C33" s="4" t="s">
        <v>18</v>
      </c>
      <c r="D33" s="5">
        <f>VLOOKUP(A33,KenPom!31:1030,4,FALSE)</f>
        <v>56</v>
      </c>
      <c r="E33" s="5">
        <f>VLOOKUP(A33,Yahoo!31:1030,4,FALSE)</f>
        <v>53.77</v>
      </c>
      <c r="F33" s="5">
        <f t="shared" si="1"/>
        <v>2.23</v>
      </c>
      <c r="G33" s="5">
        <f t="shared" si="2"/>
        <v>1.25</v>
      </c>
      <c r="H33" s="5">
        <f>VLOOKUP(A33,KenPom!31:1030,5,FALSE)</f>
        <v>7.2</v>
      </c>
      <c r="I33" s="5">
        <f>VLOOKUP(A33,Yahoo!31:1030,5,FALSE)</f>
        <v>3.57</v>
      </c>
      <c r="J33" s="5">
        <f t="shared" si="3"/>
        <v>3.63</v>
      </c>
      <c r="K33" s="5">
        <f t="shared" si="4"/>
        <v>0.26</v>
      </c>
      <c r="L33" s="5">
        <f>VLOOKUP(A33,KenPom!31:1030,6,FALSE)</f>
        <v>2.9</v>
      </c>
      <c r="M33" s="5">
        <f>VLOOKUP(A33,Yahoo!31:1030,6,FALSE)</f>
        <v>1.24</v>
      </c>
      <c r="N33" s="5">
        <f t="shared" si="5"/>
        <v>1.66</v>
      </c>
      <c r="O33" s="5">
        <f t="shared" si="6"/>
        <v>0.05</v>
      </c>
      <c r="P33" s="5">
        <f>VLOOKUP(A33,KenPom!31:1030,7,FALSE)</f>
        <v>0.9</v>
      </c>
      <c r="Q33" s="5">
        <f>VLOOKUP(A33,Yahoo!31:1030,7,FALSE)</f>
        <v>0.55</v>
      </c>
      <c r="R33" s="5">
        <f t="shared" si="7"/>
        <v>0.35</v>
      </c>
      <c r="S33" s="5">
        <f t="shared" si="8"/>
        <v>0</v>
      </c>
      <c r="T33" s="5">
        <f>VLOOKUP(A33,KenPom!31:1030,8,FALSE)</f>
        <v>0.2</v>
      </c>
      <c r="U33" s="5">
        <f>VLOOKUP(A33,Yahoo!31:1030,8,FALSE)</f>
        <v>0.24</v>
      </c>
      <c r="V33" s="5">
        <f t="shared" si="9"/>
        <v>-0.04</v>
      </c>
      <c r="W33" s="5">
        <f t="shared" si="10"/>
        <v>0</v>
      </c>
      <c r="X33" s="5">
        <f>VLOOKUP(A33,KenPom!31:1030,9,FALSE)</f>
        <v>0.03</v>
      </c>
      <c r="Y33" s="5">
        <f>VLOOKUP(A33,Yahoo!31:1030,9,FALSE)</f>
        <v>0.12</v>
      </c>
      <c r="Z33" s="5">
        <f t="shared" si="11"/>
        <v>-0.09</v>
      </c>
      <c r="AA33" s="5">
        <f t="shared" si="12"/>
        <v>0</v>
      </c>
    </row>
    <row r="34">
      <c r="A34" s="4" t="s">
        <v>48</v>
      </c>
      <c r="B34" s="4">
        <v>8.0</v>
      </c>
      <c r="C34" s="4" t="s">
        <v>20</v>
      </c>
      <c r="D34" s="5">
        <f>VLOOKUP(A34,KenPom!32:1031,4,FALSE)</f>
        <v>43</v>
      </c>
      <c r="E34" s="5">
        <f>VLOOKUP(A34,Yahoo!32:1031,4,FALSE)</f>
        <v>46.69</v>
      </c>
      <c r="F34" s="5">
        <f t="shared" si="1"/>
        <v>-3.69</v>
      </c>
      <c r="G34" s="5">
        <f t="shared" si="2"/>
        <v>-1.59</v>
      </c>
      <c r="H34" s="5">
        <f>VLOOKUP(A34,KenPom!32:1031,5,FALSE)</f>
        <v>8.1</v>
      </c>
      <c r="I34" s="5">
        <f>VLOOKUP(A34,Yahoo!32:1031,5,FALSE)</f>
        <v>3.35</v>
      </c>
      <c r="J34" s="5">
        <f t="shared" si="3"/>
        <v>4.75</v>
      </c>
      <c r="K34" s="5">
        <f t="shared" si="4"/>
        <v>0.38</v>
      </c>
      <c r="L34" s="5">
        <f>VLOOKUP(A34,KenPom!32:1031,6,FALSE)</f>
        <v>2.8</v>
      </c>
      <c r="M34" s="5">
        <f>VLOOKUP(A34,Yahoo!32:1031,6,FALSE)</f>
        <v>1.58</v>
      </c>
      <c r="N34" s="5">
        <f t="shared" si="5"/>
        <v>1.22</v>
      </c>
      <c r="O34" s="5">
        <f t="shared" si="6"/>
        <v>0.03</v>
      </c>
      <c r="P34" s="5">
        <f>VLOOKUP(A34,KenPom!32:1031,7,FALSE)</f>
        <v>0.7</v>
      </c>
      <c r="Q34" s="5">
        <f>VLOOKUP(A34,Yahoo!32:1031,7,FALSE)</f>
        <v>0.57</v>
      </c>
      <c r="R34" s="5">
        <f t="shared" si="7"/>
        <v>0.13</v>
      </c>
      <c r="S34" s="5">
        <f t="shared" si="8"/>
        <v>0</v>
      </c>
      <c r="T34" s="5">
        <f>VLOOKUP(A34,KenPom!32:1031,8,FALSE)</f>
        <v>0.2</v>
      </c>
      <c r="U34" s="5">
        <f>VLOOKUP(A34,Yahoo!32:1031,8,FALSE)</f>
        <v>0.19</v>
      </c>
      <c r="V34" s="5">
        <f t="shared" si="9"/>
        <v>0.01</v>
      </c>
      <c r="W34" s="5">
        <f t="shared" si="10"/>
        <v>0</v>
      </c>
      <c r="X34" s="5">
        <f>VLOOKUP(A34,KenPom!32:1031,9,FALSE)</f>
        <v>0.03</v>
      </c>
      <c r="Y34" s="5">
        <f>VLOOKUP(A34,Yahoo!32:1031,9,FALSE)</f>
        <v>0.09</v>
      </c>
      <c r="Z34" s="5">
        <f t="shared" si="11"/>
        <v>-0.06</v>
      </c>
      <c r="AA34" s="5">
        <f t="shared" si="12"/>
        <v>0</v>
      </c>
    </row>
    <row r="35">
      <c r="A35" s="4" t="s">
        <v>49</v>
      </c>
      <c r="B35" s="4">
        <v>9.0</v>
      </c>
      <c r="C35" s="4" t="s">
        <v>14</v>
      </c>
      <c r="D35" s="5">
        <f>VLOOKUP(A35,KenPom!33:1032,4,FALSE)</f>
        <v>39</v>
      </c>
      <c r="E35" s="5">
        <f>VLOOKUP(A35,Yahoo!33:1032,4,FALSE)</f>
        <v>38.35</v>
      </c>
      <c r="F35" s="5">
        <f t="shared" si="1"/>
        <v>0.65</v>
      </c>
      <c r="G35" s="5">
        <f t="shared" si="2"/>
        <v>0.25</v>
      </c>
      <c r="H35" s="5">
        <f>VLOOKUP(A35,KenPom!33:1032,5,FALSE)</f>
        <v>4.3</v>
      </c>
      <c r="I35" s="5">
        <f>VLOOKUP(A35,Yahoo!33:1032,5,FALSE)</f>
        <v>1.59</v>
      </c>
      <c r="J35" s="5">
        <f t="shared" si="3"/>
        <v>2.71</v>
      </c>
      <c r="K35" s="5">
        <f t="shared" si="4"/>
        <v>0.12</v>
      </c>
      <c r="L35" s="5">
        <f>VLOOKUP(A35,KenPom!33:1032,6,FALSE)</f>
        <v>1.5</v>
      </c>
      <c r="M35" s="5">
        <f>VLOOKUP(A35,Yahoo!33:1032,6,FALSE)</f>
        <v>0.62</v>
      </c>
      <c r="N35" s="5">
        <f t="shared" si="5"/>
        <v>0.88</v>
      </c>
      <c r="O35" s="5">
        <f t="shared" si="6"/>
        <v>0.01</v>
      </c>
      <c r="P35" s="5">
        <f>VLOOKUP(A35,KenPom!33:1032,7,FALSE)</f>
        <v>0.5</v>
      </c>
      <c r="Q35" s="5">
        <f>VLOOKUP(A35,Yahoo!33:1032,7,FALSE)</f>
        <v>0.29</v>
      </c>
      <c r="R35" s="5">
        <f t="shared" si="7"/>
        <v>0.21</v>
      </c>
      <c r="S35" s="5">
        <f t="shared" si="8"/>
        <v>0</v>
      </c>
      <c r="T35" s="5">
        <f>VLOOKUP(A35,KenPom!33:1032,8,FALSE)</f>
        <v>0.08</v>
      </c>
      <c r="U35" s="5">
        <f>VLOOKUP(A35,Yahoo!33:1032,8,FALSE)</f>
        <v>0.12</v>
      </c>
      <c r="V35" s="5">
        <f t="shared" si="9"/>
        <v>-0.04</v>
      </c>
      <c r="W35" s="5">
        <f t="shared" si="10"/>
        <v>0</v>
      </c>
      <c r="X35" s="5">
        <f>VLOOKUP(A35,KenPom!33:1032,9,FALSE)</f>
        <v>0.01</v>
      </c>
      <c r="Y35" s="5">
        <f>VLOOKUP(A35,Yahoo!33:1032,9,FALSE)</f>
        <v>0.06</v>
      </c>
      <c r="Z35" s="5">
        <f t="shared" si="11"/>
        <v>-0.05</v>
      </c>
      <c r="AA35" s="5">
        <f t="shared" si="12"/>
        <v>0</v>
      </c>
    </row>
    <row r="36">
      <c r="A36" s="4" t="s">
        <v>50</v>
      </c>
      <c r="B36" s="4">
        <v>9.0</v>
      </c>
      <c r="C36" s="4" t="s">
        <v>16</v>
      </c>
      <c r="D36" s="5">
        <f>VLOOKUP(A36,KenPom!34:1033,4,FALSE)</f>
        <v>52.3</v>
      </c>
      <c r="E36" s="5">
        <f>VLOOKUP(A36,Yahoo!34:1033,4,FALSE)</f>
        <v>40.59</v>
      </c>
      <c r="F36" s="5">
        <f t="shared" si="1"/>
        <v>11.71</v>
      </c>
      <c r="G36" s="5">
        <f t="shared" si="2"/>
        <v>6.12</v>
      </c>
      <c r="H36" s="5">
        <f>VLOOKUP(A36,KenPom!34:1033,5,FALSE)</f>
        <v>7.5</v>
      </c>
      <c r="I36" s="5">
        <f>VLOOKUP(A36,Yahoo!34:1033,5,FALSE)</f>
        <v>1.73</v>
      </c>
      <c r="J36" s="5">
        <f t="shared" si="3"/>
        <v>5.77</v>
      </c>
      <c r="K36" s="5">
        <f t="shared" si="4"/>
        <v>0.43</v>
      </c>
      <c r="L36" s="5">
        <f>VLOOKUP(A36,KenPom!34:1033,6,FALSE)</f>
        <v>3.1</v>
      </c>
      <c r="M36" s="5">
        <f>VLOOKUP(A36,Yahoo!34:1033,6,FALSE)</f>
        <v>0.67</v>
      </c>
      <c r="N36" s="5">
        <f t="shared" si="5"/>
        <v>2.43</v>
      </c>
      <c r="O36" s="5">
        <f t="shared" si="6"/>
        <v>0.08</v>
      </c>
      <c r="P36" s="5">
        <f>VLOOKUP(A36,KenPom!34:1033,7,FALSE)</f>
        <v>1</v>
      </c>
      <c r="Q36" s="5">
        <f>VLOOKUP(A36,Yahoo!34:1033,7,FALSE)</f>
        <v>0.26</v>
      </c>
      <c r="R36" s="5">
        <f t="shared" si="7"/>
        <v>0.74</v>
      </c>
      <c r="S36" s="5">
        <f t="shared" si="8"/>
        <v>0.01</v>
      </c>
      <c r="T36" s="5">
        <f>VLOOKUP(A36,KenPom!34:1033,8,FALSE)</f>
        <v>0.3</v>
      </c>
      <c r="U36" s="5">
        <f>VLOOKUP(A36,Yahoo!34:1033,8,FALSE)</f>
        <v>0.12</v>
      </c>
      <c r="V36" s="5">
        <f t="shared" si="9"/>
        <v>0.18</v>
      </c>
      <c r="W36" s="5">
        <f t="shared" si="10"/>
        <v>0</v>
      </c>
      <c r="X36" s="5">
        <f>VLOOKUP(A36,KenPom!34:1033,9,FALSE)</f>
        <v>0.06</v>
      </c>
      <c r="Y36" s="5">
        <f>VLOOKUP(A36,Yahoo!34:1033,9,FALSE)</f>
        <v>0.06</v>
      </c>
      <c r="Z36" s="5">
        <f t="shared" si="11"/>
        <v>0</v>
      </c>
      <c r="AA36" s="5">
        <f t="shared" si="12"/>
        <v>0</v>
      </c>
    </row>
    <row r="37">
      <c r="A37" s="4" t="s">
        <v>51</v>
      </c>
      <c r="B37" s="4">
        <v>9.0</v>
      </c>
      <c r="C37" s="4" t="s">
        <v>18</v>
      </c>
      <c r="D37" s="5">
        <f>VLOOKUP(A37,KenPom!35:1034,4,FALSE)</f>
        <v>44</v>
      </c>
      <c r="E37" s="5">
        <f>VLOOKUP(A37,Yahoo!35:1034,4,FALSE)</f>
        <v>40.57</v>
      </c>
      <c r="F37" s="5">
        <f t="shared" si="1"/>
        <v>3.43</v>
      </c>
      <c r="G37" s="5">
        <f t="shared" si="2"/>
        <v>1.51</v>
      </c>
      <c r="H37" s="5">
        <f>VLOOKUP(A37,KenPom!35:1034,5,FALSE)</f>
        <v>4.5</v>
      </c>
      <c r="I37" s="5">
        <f>VLOOKUP(A37,Yahoo!35:1034,5,FALSE)</f>
        <v>2.19</v>
      </c>
      <c r="J37" s="5">
        <f t="shared" si="3"/>
        <v>2.31</v>
      </c>
      <c r="K37" s="5">
        <f t="shared" si="4"/>
        <v>0.1</v>
      </c>
      <c r="L37" s="5">
        <f>VLOOKUP(A37,KenPom!35:1034,6,FALSE)</f>
        <v>1.6</v>
      </c>
      <c r="M37" s="5">
        <f>VLOOKUP(A37,Yahoo!35:1034,6,FALSE)</f>
        <v>0.98</v>
      </c>
      <c r="N37" s="5">
        <f t="shared" si="5"/>
        <v>0.62</v>
      </c>
      <c r="O37" s="5">
        <f t="shared" si="6"/>
        <v>0.01</v>
      </c>
      <c r="P37" s="5">
        <f>VLOOKUP(A37,KenPom!35:1034,7,FALSE)</f>
        <v>0.4</v>
      </c>
      <c r="Q37" s="5">
        <f>VLOOKUP(A37,Yahoo!35:1034,7,FALSE)</f>
        <v>0.41</v>
      </c>
      <c r="R37" s="5">
        <f t="shared" si="7"/>
        <v>-0.01</v>
      </c>
      <c r="S37" s="5">
        <f t="shared" si="8"/>
        <v>0</v>
      </c>
      <c r="T37" s="5">
        <f>VLOOKUP(A37,KenPom!35:1034,8,FALSE)</f>
        <v>0.09</v>
      </c>
      <c r="U37" s="5">
        <f>VLOOKUP(A37,Yahoo!35:1034,8,FALSE)</f>
        <v>0.16</v>
      </c>
      <c r="V37" s="5">
        <f t="shared" si="9"/>
        <v>-0.07</v>
      </c>
      <c r="W37" s="5">
        <f t="shared" si="10"/>
        <v>0</v>
      </c>
      <c r="X37" s="5">
        <f>VLOOKUP(A37,KenPom!35:1034,9,FALSE)</f>
        <v>0.02</v>
      </c>
      <c r="Y37" s="5">
        <f>VLOOKUP(A37,Yahoo!35:1034,9,FALSE)</f>
        <v>0.08</v>
      </c>
      <c r="Z37" s="5">
        <f t="shared" si="11"/>
        <v>-0.06</v>
      </c>
      <c r="AA37" s="5">
        <f t="shared" si="12"/>
        <v>0</v>
      </c>
    </row>
    <row r="38">
      <c r="A38" s="4" t="s">
        <v>52</v>
      </c>
      <c r="B38" s="4">
        <v>9.0</v>
      </c>
      <c r="C38" s="4" t="s">
        <v>20</v>
      </c>
      <c r="D38" s="5">
        <f>VLOOKUP(A38,KenPom!36:1035,4,FALSE)</f>
        <v>57</v>
      </c>
      <c r="E38" s="5">
        <f>VLOOKUP(A38,Yahoo!36:1035,4,FALSE)</f>
        <v>48.94</v>
      </c>
      <c r="F38" s="5">
        <f t="shared" si="1"/>
        <v>8.06</v>
      </c>
      <c r="G38" s="5">
        <f t="shared" si="2"/>
        <v>4.59</v>
      </c>
      <c r="H38" s="5">
        <f>VLOOKUP(A38,KenPom!36:1035,5,FALSE)</f>
        <v>14</v>
      </c>
      <c r="I38" s="5">
        <f>VLOOKUP(A38,Yahoo!36:1035,5,FALSE)</f>
        <v>4.86</v>
      </c>
      <c r="J38" s="5">
        <f t="shared" si="3"/>
        <v>9.14</v>
      </c>
      <c r="K38" s="5">
        <f t="shared" si="4"/>
        <v>1.28</v>
      </c>
      <c r="L38" s="5">
        <f>VLOOKUP(A38,KenPom!36:1035,6,FALSE)</f>
        <v>5.8</v>
      </c>
      <c r="M38" s="5">
        <f>VLOOKUP(A38,Yahoo!36:1035,6,FALSE)</f>
        <v>2.8</v>
      </c>
      <c r="N38" s="5">
        <f t="shared" si="5"/>
        <v>3</v>
      </c>
      <c r="O38" s="5">
        <f t="shared" si="6"/>
        <v>0.17</v>
      </c>
      <c r="P38" s="5">
        <f>VLOOKUP(A38,KenPom!36:1035,7,FALSE)</f>
        <v>1.8</v>
      </c>
      <c r="Q38" s="5">
        <f>VLOOKUP(A38,Yahoo!36:1035,7,FALSE)</f>
        <v>0.49</v>
      </c>
      <c r="R38" s="5">
        <f t="shared" si="7"/>
        <v>1.31</v>
      </c>
      <c r="S38" s="5">
        <f t="shared" si="8"/>
        <v>0.02</v>
      </c>
      <c r="T38" s="5">
        <f>VLOOKUP(A38,KenPom!36:1035,8,FALSE)</f>
        <v>0.5</v>
      </c>
      <c r="U38" s="5">
        <f>VLOOKUP(A38,Yahoo!36:1035,8,FALSE)</f>
        <v>0.18</v>
      </c>
      <c r="V38" s="5">
        <f t="shared" si="9"/>
        <v>0.32</v>
      </c>
      <c r="W38" s="5">
        <f t="shared" si="10"/>
        <v>0</v>
      </c>
      <c r="X38" s="5">
        <f>VLOOKUP(A38,KenPom!36:1035,9,FALSE)</f>
        <v>0.1</v>
      </c>
      <c r="Y38" s="5">
        <f>VLOOKUP(A38,Yahoo!36:1035,9,FALSE)</f>
        <v>0.09</v>
      </c>
      <c r="Z38" s="5">
        <f t="shared" si="11"/>
        <v>0.01</v>
      </c>
      <c r="AA38" s="5">
        <f t="shared" si="12"/>
        <v>0</v>
      </c>
    </row>
    <row r="39">
      <c r="A39" s="4" t="s">
        <v>53</v>
      </c>
      <c r="B39" s="4">
        <v>10.0</v>
      </c>
      <c r="C39" s="4" t="s">
        <v>14</v>
      </c>
      <c r="D39" s="5">
        <f>VLOOKUP(A39,KenPom!37:1036,4,FALSE)</f>
        <v>34.2</v>
      </c>
      <c r="E39" s="5">
        <f>VLOOKUP(A39,Yahoo!37:1036,4,FALSE)</f>
        <v>30.52</v>
      </c>
      <c r="F39" s="5">
        <f t="shared" si="1"/>
        <v>3.68</v>
      </c>
      <c r="G39" s="5">
        <f t="shared" si="2"/>
        <v>1.26</v>
      </c>
      <c r="H39" s="5">
        <f>VLOOKUP(A39,KenPom!37:1036,5,FALSE)</f>
        <v>8.4</v>
      </c>
      <c r="I39" s="5">
        <f>VLOOKUP(A39,Yahoo!37:1036,5,FALSE)</f>
        <v>2.95</v>
      </c>
      <c r="J39" s="5">
        <f t="shared" si="3"/>
        <v>5.45</v>
      </c>
      <c r="K39" s="5">
        <f t="shared" si="4"/>
        <v>0.46</v>
      </c>
      <c r="L39" s="5">
        <f>VLOOKUP(A39,KenPom!37:1036,6,FALSE)</f>
        <v>2.1</v>
      </c>
      <c r="M39" s="5">
        <f>VLOOKUP(A39,Yahoo!37:1036,6,FALSE)</f>
        <v>0.8</v>
      </c>
      <c r="N39" s="5">
        <f t="shared" si="5"/>
        <v>1.3</v>
      </c>
      <c r="O39" s="5">
        <f t="shared" si="6"/>
        <v>0.03</v>
      </c>
      <c r="P39" s="5">
        <f>VLOOKUP(A39,KenPom!37:1036,7,FALSE)</f>
        <v>0.3</v>
      </c>
      <c r="Q39" s="5">
        <f>VLOOKUP(A39,Yahoo!37:1036,7,FALSE)</f>
        <v>0.21</v>
      </c>
      <c r="R39" s="5">
        <f t="shared" si="7"/>
        <v>0.09</v>
      </c>
      <c r="S39" s="5">
        <f t="shared" si="8"/>
        <v>0</v>
      </c>
      <c r="T39" s="5">
        <f>VLOOKUP(A39,KenPom!37:1036,8,FALSE)</f>
        <v>0.03</v>
      </c>
      <c r="U39" s="5">
        <f>VLOOKUP(A39,Yahoo!37:1036,8,FALSE)</f>
        <v>0.1</v>
      </c>
      <c r="V39" s="5">
        <f t="shared" si="9"/>
        <v>-0.07</v>
      </c>
      <c r="W39" s="5">
        <f t="shared" si="10"/>
        <v>0</v>
      </c>
      <c r="X39" s="5">
        <f>VLOOKUP(A39,KenPom!37:1036,9,FALSE)</f>
        <v>0.001</v>
      </c>
      <c r="Y39" s="5">
        <f>VLOOKUP(A39,Yahoo!37:1036,9,FALSE)</f>
        <v>0.05</v>
      </c>
      <c r="Z39" s="5">
        <f t="shared" si="11"/>
        <v>-0.049</v>
      </c>
      <c r="AA39" s="5">
        <f t="shared" si="12"/>
        <v>0</v>
      </c>
    </row>
    <row r="40">
      <c r="A40" s="4" t="s">
        <v>54</v>
      </c>
      <c r="B40" s="4">
        <v>10.0</v>
      </c>
      <c r="C40" s="4" t="s">
        <v>16</v>
      </c>
      <c r="D40" s="5">
        <f>VLOOKUP(A40,KenPom!38:1037,4,FALSE)</f>
        <v>37.3</v>
      </c>
      <c r="E40" s="5">
        <f>VLOOKUP(A40,Yahoo!38:1037,4,FALSE)</f>
        <v>34.14</v>
      </c>
      <c r="F40" s="5">
        <f t="shared" si="1"/>
        <v>3.16</v>
      </c>
      <c r="G40" s="5">
        <f t="shared" si="2"/>
        <v>1.18</v>
      </c>
      <c r="H40" s="5">
        <f>VLOOKUP(A40,KenPom!38:1037,5,FALSE)</f>
        <v>7.3</v>
      </c>
      <c r="I40" s="5">
        <f>VLOOKUP(A40,Yahoo!38:1037,5,FALSE)</f>
        <v>4.1</v>
      </c>
      <c r="J40" s="5">
        <f t="shared" si="3"/>
        <v>3.2</v>
      </c>
      <c r="K40" s="5">
        <f t="shared" si="4"/>
        <v>0.23</v>
      </c>
      <c r="L40" s="5">
        <f>VLOOKUP(A40,KenPom!38:1037,6,FALSE)</f>
        <v>1.9</v>
      </c>
      <c r="M40" s="5">
        <f>VLOOKUP(A40,Yahoo!38:1037,6,FALSE)</f>
        <v>1.1</v>
      </c>
      <c r="N40" s="5">
        <f t="shared" si="5"/>
        <v>0.8</v>
      </c>
      <c r="O40" s="5">
        <f t="shared" si="6"/>
        <v>0.02</v>
      </c>
      <c r="P40" s="5">
        <f>VLOOKUP(A40,KenPom!38:1037,7,FALSE)</f>
        <v>0.3</v>
      </c>
      <c r="Q40" s="5">
        <f>VLOOKUP(A40,Yahoo!38:1037,7,FALSE)</f>
        <v>0.31</v>
      </c>
      <c r="R40" s="5">
        <f t="shared" si="7"/>
        <v>-0.01</v>
      </c>
      <c r="S40" s="5">
        <f t="shared" si="8"/>
        <v>0</v>
      </c>
      <c r="T40" s="5">
        <f>VLOOKUP(A40,KenPom!38:1037,8,FALSE)</f>
        <v>0.05</v>
      </c>
      <c r="U40" s="5">
        <f>VLOOKUP(A40,Yahoo!38:1037,8,FALSE)</f>
        <v>0.13</v>
      </c>
      <c r="V40" s="5">
        <f t="shared" si="9"/>
        <v>-0.08</v>
      </c>
      <c r="W40" s="5">
        <f t="shared" si="10"/>
        <v>0</v>
      </c>
      <c r="X40" s="5">
        <f>VLOOKUP(A40,KenPom!38:1037,9,FALSE)</f>
        <v>0.003</v>
      </c>
      <c r="Y40" s="5">
        <f>VLOOKUP(A40,Yahoo!38:1037,9,FALSE)</f>
        <v>0.07</v>
      </c>
      <c r="Z40" s="5">
        <f t="shared" si="11"/>
        <v>-0.067</v>
      </c>
      <c r="AA40" s="5">
        <f t="shared" si="12"/>
        <v>0</v>
      </c>
    </row>
    <row r="41">
      <c r="A41" s="4" t="s">
        <v>55</v>
      </c>
      <c r="B41" s="4">
        <v>10.0</v>
      </c>
      <c r="C41" s="4" t="s">
        <v>18</v>
      </c>
      <c r="D41" s="5">
        <f>VLOOKUP(A41,KenPom!39:1038,4,FALSE)</f>
        <v>44.5</v>
      </c>
      <c r="E41" s="5">
        <f>VLOOKUP(A41,Yahoo!39:1038,4,FALSE)</f>
        <v>28.84</v>
      </c>
      <c r="F41" s="5">
        <f t="shared" si="1"/>
        <v>15.66</v>
      </c>
      <c r="G41" s="5">
        <f t="shared" si="2"/>
        <v>6.97</v>
      </c>
      <c r="H41" s="5">
        <f>VLOOKUP(A41,KenPom!39:1038,5,FALSE)</f>
        <v>10</v>
      </c>
      <c r="I41" s="5">
        <f>VLOOKUP(A41,Yahoo!39:1038,5,FALSE)</f>
        <v>4.02</v>
      </c>
      <c r="J41" s="5">
        <f t="shared" si="3"/>
        <v>5.98</v>
      </c>
      <c r="K41" s="5">
        <f t="shared" si="4"/>
        <v>0.6</v>
      </c>
      <c r="L41" s="5">
        <f>VLOOKUP(A41,KenPom!39:1038,6,FALSE)</f>
        <v>3.5</v>
      </c>
      <c r="M41" s="5">
        <f>VLOOKUP(A41,Yahoo!39:1038,6,FALSE)</f>
        <v>1.11</v>
      </c>
      <c r="N41" s="5">
        <f t="shared" si="5"/>
        <v>2.39</v>
      </c>
      <c r="O41" s="5">
        <f t="shared" si="6"/>
        <v>0.08</v>
      </c>
      <c r="P41" s="5">
        <f>VLOOKUP(A41,KenPom!39:1038,7,FALSE)</f>
        <v>0.7</v>
      </c>
      <c r="Q41" s="5">
        <f>VLOOKUP(A41,Yahoo!39:1038,7,FALSE)</f>
        <v>0.29</v>
      </c>
      <c r="R41" s="5">
        <f t="shared" si="7"/>
        <v>0.41</v>
      </c>
      <c r="S41" s="5">
        <f t="shared" si="8"/>
        <v>0</v>
      </c>
      <c r="T41" s="5">
        <f>VLOOKUP(A41,KenPom!39:1038,8,FALSE)</f>
        <v>0.2</v>
      </c>
      <c r="U41" s="5">
        <f>VLOOKUP(A41,Yahoo!39:1038,8,FALSE)</f>
        <v>0.1</v>
      </c>
      <c r="V41" s="5">
        <f t="shared" si="9"/>
        <v>0.1</v>
      </c>
      <c r="W41" s="5">
        <f t="shared" si="10"/>
        <v>0</v>
      </c>
      <c r="X41" s="5">
        <f>VLOOKUP(A41,KenPom!39:1038,9,FALSE)</f>
        <v>0.03</v>
      </c>
      <c r="Y41" s="5">
        <f>VLOOKUP(A41,Yahoo!39:1038,9,FALSE)</f>
        <v>0.05</v>
      </c>
      <c r="Z41" s="5">
        <f t="shared" si="11"/>
        <v>-0.02</v>
      </c>
      <c r="AA41" s="5">
        <f t="shared" si="12"/>
        <v>0</v>
      </c>
    </row>
    <row r="42">
      <c r="A42" s="4" t="s">
        <v>56</v>
      </c>
      <c r="B42" s="4">
        <v>10.0</v>
      </c>
      <c r="C42" s="4" t="s">
        <v>20</v>
      </c>
      <c r="D42" s="5">
        <f>VLOOKUP(A42,KenPom!40:1039,4,FALSE)</f>
        <v>39.6</v>
      </c>
      <c r="E42" s="5">
        <f>VLOOKUP(A42,Yahoo!40:1039,4,FALSE)</f>
        <v>44.54</v>
      </c>
      <c r="F42" s="5">
        <f t="shared" si="1"/>
        <v>-4.94</v>
      </c>
      <c r="G42" s="5">
        <f t="shared" si="2"/>
        <v>-1.96</v>
      </c>
      <c r="H42" s="5">
        <f>VLOOKUP(A42,KenPom!40:1039,5,FALSE)</f>
        <v>8.2</v>
      </c>
      <c r="I42" s="5">
        <f>VLOOKUP(A42,Yahoo!40:1039,5,FALSE)</f>
        <v>6.05</v>
      </c>
      <c r="J42" s="5">
        <f t="shared" si="3"/>
        <v>2.15</v>
      </c>
      <c r="K42" s="5">
        <f t="shared" si="4"/>
        <v>0.18</v>
      </c>
      <c r="L42" s="5">
        <f>VLOOKUP(A42,KenPom!40:1039,6,FALSE)</f>
        <v>2.3</v>
      </c>
      <c r="M42" s="5">
        <f>VLOOKUP(A42,Yahoo!40:1039,6,FALSE)</f>
        <v>1.43</v>
      </c>
      <c r="N42" s="5">
        <f t="shared" si="5"/>
        <v>0.87</v>
      </c>
      <c r="O42" s="5">
        <f t="shared" si="6"/>
        <v>0.02</v>
      </c>
      <c r="P42" s="5">
        <f>VLOOKUP(A42,KenPom!40:1039,7,FALSE)</f>
        <v>0.6</v>
      </c>
      <c r="Q42" s="5">
        <f>VLOOKUP(A42,Yahoo!40:1039,7,FALSE)</f>
        <v>0.51</v>
      </c>
      <c r="R42" s="5">
        <f t="shared" si="7"/>
        <v>0.09</v>
      </c>
      <c r="S42" s="5">
        <f t="shared" si="8"/>
        <v>0</v>
      </c>
      <c r="T42" s="5">
        <f>VLOOKUP(A42,KenPom!40:1039,8,FALSE)</f>
        <v>0.1</v>
      </c>
      <c r="U42" s="5">
        <f>VLOOKUP(A42,Yahoo!40:1039,8,FALSE)</f>
        <v>0.21</v>
      </c>
      <c r="V42" s="5">
        <f t="shared" si="9"/>
        <v>-0.11</v>
      </c>
      <c r="W42" s="5">
        <f t="shared" si="10"/>
        <v>0</v>
      </c>
      <c r="X42" s="5">
        <f>VLOOKUP(A42,KenPom!40:1039,9,FALSE)</f>
        <v>0.02</v>
      </c>
      <c r="Y42" s="5">
        <f>VLOOKUP(A42,Yahoo!40:1039,9,FALSE)</f>
        <v>0.09</v>
      </c>
      <c r="Z42" s="5">
        <f t="shared" si="11"/>
        <v>-0.07</v>
      </c>
      <c r="AA42" s="5">
        <f t="shared" si="12"/>
        <v>0</v>
      </c>
    </row>
    <row r="43">
      <c r="A43" s="4" t="s">
        <v>57</v>
      </c>
      <c r="B43" s="4">
        <v>11.0</v>
      </c>
      <c r="C43" s="4" t="s">
        <v>14</v>
      </c>
      <c r="D43" s="5">
        <f>VLOOKUP(A43,KenPom!41:1040,4,FALSE)</f>
        <v>27.7</v>
      </c>
      <c r="E43" s="5">
        <f>VLOOKUP(A43,Yahoo!41:1040,4,FALSE)</f>
        <v>32.58</v>
      </c>
      <c r="F43" s="5">
        <f t="shared" si="1"/>
        <v>-4.88</v>
      </c>
      <c r="G43" s="5">
        <f t="shared" si="2"/>
        <v>-1.35</v>
      </c>
      <c r="H43" s="5">
        <f>VLOOKUP(A43,KenPom!41:1040,5,FALSE)</f>
        <v>7.4</v>
      </c>
      <c r="I43" s="5">
        <f>VLOOKUP(A43,Yahoo!41:1040,5,FALSE)</f>
        <v>5.88</v>
      </c>
      <c r="J43" s="5">
        <f t="shared" si="3"/>
        <v>1.52</v>
      </c>
      <c r="K43" s="5">
        <f t="shared" si="4"/>
        <v>0.11</v>
      </c>
      <c r="L43" s="5">
        <f>VLOOKUP(A43,KenPom!41:1040,6,FALSE)</f>
        <v>2.2</v>
      </c>
      <c r="M43" s="5">
        <f>VLOOKUP(A43,Yahoo!41:1040,6,FALSE)</f>
        <v>1.16</v>
      </c>
      <c r="N43" s="5">
        <f t="shared" si="5"/>
        <v>1.04</v>
      </c>
      <c r="O43" s="5">
        <f t="shared" si="6"/>
        <v>0.02</v>
      </c>
      <c r="P43" s="5">
        <f>VLOOKUP(A43,KenPom!41:1040,7,FALSE)</f>
        <v>0.3</v>
      </c>
      <c r="Q43" s="5">
        <f>VLOOKUP(A43,Yahoo!41:1040,7,FALSE)</f>
        <v>0.3</v>
      </c>
      <c r="R43" s="5">
        <f t="shared" si="7"/>
        <v>0</v>
      </c>
      <c r="S43" s="5">
        <f t="shared" si="8"/>
        <v>0</v>
      </c>
      <c r="T43" s="5">
        <f>VLOOKUP(A43,KenPom!41:1040,8,FALSE)</f>
        <v>0.05</v>
      </c>
      <c r="U43" s="5">
        <f>VLOOKUP(A43,Yahoo!41:1040,8,FALSE)</f>
        <v>0.12</v>
      </c>
      <c r="V43" s="5">
        <f t="shared" si="9"/>
        <v>-0.07</v>
      </c>
      <c r="W43" s="5">
        <f t="shared" si="10"/>
        <v>0</v>
      </c>
      <c r="X43" s="5">
        <f>VLOOKUP(A43,KenPom!41:1040,9,FALSE)</f>
        <v>0.006</v>
      </c>
      <c r="Y43" s="5">
        <f>VLOOKUP(A43,Yahoo!41:1040,9,FALSE)</f>
        <v>0.06</v>
      </c>
      <c r="Z43" s="5">
        <f t="shared" si="11"/>
        <v>-0.054</v>
      </c>
      <c r="AA43" s="5">
        <f t="shared" si="12"/>
        <v>0</v>
      </c>
    </row>
    <row r="44">
      <c r="A44" s="4" t="s">
        <v>58</v>
      </c>
      <c r="B44" s="4">
        <v>11.0</v>
      </c>
      <c r="C44" s="4" t="s">
        <v>16</v>
      </c>
      <c r="D44" s="5">
        <f>VLOOKUP(A44,KenPom!42:1041,4,FALSE)</f>
        <v>20</v>
      </c>
      <c r="E44" s="5">
        <f>VLOOKUP(A44,Yahoo!42:1041,4,FALSE)</f>
        <v>15.28</v>
      </c>
      <c r="F44" s="5">
        <f t="shared" si="1"/>
        <v>4.72</v>
      </c>
      <c r="G44" s="5">
        <f t="shared" si="2"/>
        <v>0.94</v>
      </c>
      <c r="H44" s="5">
        <f>VLOOKUP(A44,KenPom!42:1041,5,FALSE)</f>
        <v>6.3</v>
      </c>
      <c r="I44" s="5">
        <f>VLOOKUP(A44,Yahoo!42:1041,5,FALSE)</f>
        <v>2.71</v>
      </c>
      <c r="J44" s="5">
        <f t="shared" si="3"/>
        <v>3.59</v>
      </c>
      <c r="K44" s="5">
        <f t="shared" si="4"/>
        <v>0.23</v>
      </c>
      <c r="L44" s="5">
        <f>VLOOKUP(A44,KenPom!42:1041,6,FALSE)</f>
        <v>1.9</v>
      </c>
      <c r="M44" s="5">
        <f>VLOOKUP(A44,Yahoo!42:1041,6,FALSE)</f>
        <v>0.62</v>
      </c>
      <c r="N44" s="5">
        <f t="shared" si="5"/>
        <v>1.28</v>
      </c>
      <c r="O44" s="5">
        <f t="shared" si="6"/>
        <v>0.02</v>
      </c>
      <c r="P44" s="5">
        <f>VLOOKUP(A44,KenPom!42:1041,7,FALSE)</f>
        <v>0.4</v>
      </c>
      <c r="Q44" s="5">
        <f>VLOOKUP(A44,Yahoo!42:1041,7,FALSE)</f>
        <v>0.22</v>
      </c>
      <c r="R44" s="5">
        <f t="shared" si="7"/>
        <v>0.18</v>
      </c>
      <c r="S44" s="5">
        <f t="shared" si="8"/>
        <v>0</v>
      </c>
      <c r="T44" s="5">
        <f>VLOOKUP(A44,KenPom!42:1041,8,FALSE)</f>
        <v>0.1</v>
      </c>
      <c r="U44" s="5">
        <f>VLOOKUP(A44,Yahoo!42:1041,8,FALSE)</f>
        <v>0.1</v>
      </c>
      <c r="V44" s="5">
        <f t="shared" si="9"/>
        <v>0</v>
      </c>
      <c r="W44" s="5">
        <f t="shared" si="10"/>
        <v>0</v>
      </c>
      <c r="X44" s="5">
        <f>VLOOKUP(A44,KenPom!42:1041,9,FALSE)</f>
        <v>0.02</v>
      </c>
      <c r="Y44" s="5">
        <f>VLOOKUP(A44,Yahoo!42:1041,9,FALSE)</f>
        <v>0.05</v>
      </c>
      <c r="Z44" s="5">
        <f t="shared" si="11"/>
        <v>-0.03</v>
      </c>
      <c r="AA44" s="5">
        <f t="shared" si="12"/>
        <v>0</v>
      </c>
    </row>
    <row r="45">
      <c r="A45" s="4" t="s">
        <v>59</v>
      </c>
      <c r="B45" s="4">
        <v>11.0</v>
      </c>
      <c r="C45" s="4" t="s">
        <v>18</v>
      </c>
      <c r="D45" s="5">
        <f>VLOOKUP(A45,KenPom!43:1042,4,FALSE)</f>
        <v>23.2</v>
      </c>
      <c r="E45" s="5">
        <f>VLOOKUP(A45,Yahoo!43:1042,4,FALSE)</f>
        <v>11.77</v>
      </c>
      <c r="F45" s="5">
        <f t="shared" si="1"/>
        <v>11.43</v>
      </c>
      <c r="G45" s="5">
        <f t="shared" si="2"/>
        <v>2.65</v>
      </c>
      <c r="H45" s="5">
        <f>VLOOKUP(A45,KenPom!43:1042,5,FALSE)</f>
        <v>7.9</v>
      </c>
      <c r="I45" s="5">
        <f>VLOOKUP(A45,Yahoo!43:1042,5,FALSE)</f>
        <v>2.79</v>
      </c>
      <c r="J45" s="5">
        <f t="shared" si="3"/>
        <v>5.11</v>
      </c>
      <c r="K45" s="5">
        <f t="shared" si="4"/>
        <v>0.4</v>
      </c>
      <c r="L45" s="5">
        <f>VLOOKUP(A45,KenPom!43:1042,6,FALSE)</f>
        <v>2</v>
      </c>
      <c r="M45" s="5">
        <f>VLOOKUP(A45,Yahoo!43:1042,6,FALSE)</f>
        <v>0.73</v>
      </c>
      <c r="N45" s="5">
        <f t="shared" si="5"/>
        <v>1.27</v>
      </c>
      <c r="O45" s="5">
        <f t="shared" si="6"/>
        <v>0.03</v>
      </c>
      <c r="P45" s="5">
        <f>VLOOKUP(A45,KenPom!43:1042,7,FALSE)</f>
        <v>0.4</v>
      </c>
      <c r="Q45" s="5">
        <f>VLOOKUP(A45,Yahoo!43:1042,7,FALSE)</f>
        <v>0.25</v>
      </c>
      <c r="R45" s="5">
        <f t="shared" si="7"/>
        <v>0.15</v>
      </c>
      <c r="S45" s="5">
        <f t="shared" si="8"/>
        <v>0</v>
      </c>
      <c r="T45" s="5">
        <f>VLOOKUP(A45,KenPom!43:1042,8,FALSE)</f>
        <v>0.08</v>
      </c>
      <c r="U45" s="5">
        <f>VLOOKUP(A45,Yahoo!43:1042,8,FALSE)</f>
        <v>0.11</v>
      </c>
      <c r="V45" s="5">
        <f t="shared" si="9"/>
        <v>-0.03</v>
      </c>
      <c r="W45" s="5">
        <f t="shared" si="10"/>
        <v>0</v>
      </c>
      <c r="X45" s="5">
        <f>VLOOKUP(A45,KenPom!43:1042,9,FALSE)</f>
        <v>0.01</v>
      </c>
      <c r="Y45" s="5">
        <f>VLOOKUP(A45,Yahoo!43:1042,9,FALSE)</f>
        <v>0.05</v>
      </c>
      <c r="Z45" s="5">
        <f t="shared" si="11"/>
        <v>-0.04</v>
      </c>
      <c r="AA45" s="5">
        <f t="shared" si="12"/>
        <v>0</v>
      </c>
    </row>
    <row r="46">
      <c r="A46" s="4" t="s">
        <v>60</v>
      </c>
      <c r="B46" s="4">
        <v>11.0</v>
      </c>
      <c r="C46" s="4" t="s">
        <v>20</v>
      </c>
      <c r="D46" s="5">
        <f>VLOOKUP(A46,KenPom!44:1043,4,FALSE)</f>
        <v>41.1</v>
      </c>
      <c r="E46" s="5">
        <f>VLOOKUP(A46,Yahoo!44:1043,4,FALSE)</f>
        <v>26.48</v>
      </c>
      <c r="F46" s="5">
        <f t="shared" si="1"/>
        <v>14.62</v>
      </c>
      <c r="G46" s="5">
        <f t="shared" si="2"/>
        <v>6.01</v>
      </c>
      <c r="H46" s="5">
        <f>VLOOKUP(A46,KenPom!44:1043,5,FALSE)</f>
        <v>8.4</v>
      </c>
      <c r="I46" s="5">
        <f>VLOOKUP(A46,Yahoo!44:1043,5,FALSE)</f>
        <v>4.86</v>
      </c>
      <c r="J46" s="5">
        <f t="shared" si="3"/>
        <v>3.54</v>
      </c>
      <c r="K46" s="5">
        <f t="shared" si="4"/>
        <v>0.3</v>
      </c>
      <c r="L46" s="5">
        <f>VLOOKUP(A46,KenPom!44:1043,6,FALSE)</f>
        <v>1.9</v>
      </c>
      <c r="M46" s="5">
        <f>VLOOKUP(A46,Yahoo!44:1043,6,FALSE)</f>
        <v>0.8</v>
      </c>
      <c r="N46" s="5">
        <f t="shared" si="5"/>
        <v>1.1</v>
      </c>
      <c r="O46" s="5">
        <f t="shared" si="6"/>
        <v>0.02</v>
      </c>
      <c r="P46" s="5">
        <f>VLOOKUP(A46,KenPom!44:1043,7,FALSE)</f>
        <v>0.4</v>
      </c>
      <c r="Q46" s="5">
        <f>VLOOKUP(A46,Yahoo!44:1043,7,FALSE)</f>
        <v>0.25</v>
      </c>
      <c r="R46" s="5">
        <f t="shared" si="7"/>
        <v>0.15</v>
      </c>
      <c r="S46" s="5">
        <f t="shared" si="8"/>
        <v>0</v>
      </c>
      <c r="T46" s="5">
        <f>VLOOKUP(A46,KenPom!44:1043,8,FALSE)</f>
        <v>0.09</v>
      </c>
      <c r="U46" s="5">
        <f>VLOOKUP(A46,Yahoo!44:1043,8,FALSE)</f>
        <v>0.09</v>
      </c>
      <c r="V46" s="5">
        <f t="shared" si="9"/>
        <v>0</v>
      </c>
      <c r="W46" s="5">
        <f t="shared" si="10"/>
        <v>0</v>
      </c>
      <c r="X46" s="5">
        <f>VLOOKUP(A46,KenPom!44:1043,9,FALSE)</f>
        <v>0.01</v>
      </c>
      <c r="Y46" s="5">
        <f>VLOOKUP(A46,Yahoo!44:1043,9,FALSE)</f>
        <v>0.03</v>
      </c>
      <c r="Z46" s="5">
        <f t="shared" si="11"/>
        <v>-0.02</v>
      </c>
      <c r="AA46" s="5">
        <f t="shared" si="12"/>
        <v>0</v>
      </c>
    </row>
    <row r="47">
      <c r="A47" s="4" t="s">
        <v>61</v>
      </c>
      <c r="B47" s="4">
        <v>12.0</v>
      </c>
      <c r="C47" s="4" t="s">
        <v>14</v>
      </c>
      <c r="D47" s="5">
        <f>VLOOKUP(A47,KenPom!45:1044,4,FALSE)</f>
        <v>20.4</v>
      </c>
      <c r="E47" s="5">
        <f>VLOOKUP(A47,Yahoo!45:1044,4,FALSE)</f>
        <v>10.79</v>
      </c>
      <c r="F47" s="5">
        <f t="shared" si="1"/>
        <v>9.61</v>
      </c>
      <c r="G47" s="5">
        <f t="shared" si="2"/>
        <v>1.96</v>
      </c>
      <c r="H47" s="5">
        <f>VLOOKUP(A47,KenPom!45:1044,5,FALSE)</f>
        <v>5.8</v>
      </c>
      <c r="I47" s="5">
        <f>VLOOKUP(A47,Yahoo!45:1044,5,FALSE)</f>
        <v>2.14</v>
      </c>
      <c r="J47" s="5">
        <f t="shared" si="3"/>
        <v>3.66</v>
      </c>
      <c r="K47" s="5">
        <f t="shared" si="4"/>
        <v>0.21</v>
      </c>
      <c r="L47" s="5">
        <f>VLOOKUP(A47,KenPom!45:1044,6,FALSE)</f>
        <v>0.6</v>
      </c>
      <c r="M47" s="5">
        <f>VLOOKUP(A47,Yahoo!45:1044,6,FALSE)</f>
        <v>0.42</v>
      </c>
      <c r="N47" s="5">
        <f t="shared" si="5"/>
        <v>0.18</v>
      </c>
      <c r="O47" s="5">
        <f t="shared" si="6"/>
        <v>0</v>
      </c>
      <c r="P47" s="5">
        <f>VLOOKUP(A47,KenPom!45:1044,7,FALSE)</f>
        <v>0.1</v>
      </c>
      <c r="Q47" s="5">
        <f>VLOOKUP(A47,Yahoo!45:1044,7,FALSE)</f>
        <v>0.18</v>
      </c>
      <c r="R47" s="5">
        <f t="shared" si="7"/>
        <v>-0.08</v>
      </c>
      <c r="S47" s="5">
        <f t="shared" si="8"/>
        <v>0</v>
      </c>
      <c r="T47" s="5">
        <f>VLOOKUP(A47,KenPom!45:1044,8,FALSE)</f>
        <v>0.01</v>
      </c>
      <c r="U47" s="5">
        <f>VLOOKUP(A47,Yahoo!45:1044,8,FALSE)</f>
        <v>0.08</v>
      </c>
      <c r="V47" s="5">
        <f t="shared" si="9"/>
        <v>-0.07</v>
      </c>
      <c r="W47" s="5">
        <f t="shared" si="10"/>
        <v>0</v>
      </c>
      <c r="X47" s="5">
        <f>VLOOKUP(A47,KenPom!45:1044,9,FALSE)</f>
        <v>0.001</v>
      </c>
      <c r="Y47" s="5">
        <f>VLOOKUP(A47,Yahoo!45:1044,9,FALSE)</f>
        <v>0.04</v>
      </c>
      <c r="Z47" s="5">
        <f t="shared" si="11"/>
        <v>-0.039</v>
      </c>
      <c r="AA47" s="5">
        <f t="shared" si="12"/>
        <v>0</v>
      </c>
    </row>
    <row r="48">
      <c r="A48" s="4" t="s">
        <v>62</v>
      </c>
      <c r="B48" s="4">
        <v>12.0</v>
      </c>
      <c r="C48" s="4" t="s">
        <v>16</v>
      </c>
      <c r="D48" s="5">
        <f>VLOOKUP(A48,KenPom!46:1045,4,FALSE)</f>
        <v>16.8</v>
      </c>
      <c r="E48" s="5">
        <f>VLOOKUP(A48,Yahoo!46:1045,4,FALSE)</f>
        <v>14.74</v>
      </c>
      <c r="F48" s="5">
        <f t="shared" si="1"/>
        <v>2.06</v>
      </c>
      <c r="G48" s="5">
        <f t="shared" si="2"/>
        <v>0.35</v>
      </c>
      <c r="H48" s="5">
        <f>VLOOKUP(A48,KenPom!46:1045,5,FALSE)</f>
        <v>2.7</v>
      </c>
      <c r="I48" s="5">
        <f>VLOOKUP(A48,Yahoo!46:1045,5,FALSE)</f>
        <v>3.09</v>
      </c>
      <c r="J48" s="5">
        <f t="shared" si="3"/>
        <v>-0.39</v>
      </c>
      <c r="K48" s="5">
        <f t="shared" si="4"/>
        <v>-0.01</v>
      </c>
      <c r="L48" s="5">
        <f>VLOOKUP(A48,KenPom!46:1045,6,FALSE)</f>
        <v>0.2</v>
      </c>
      <c r="M48" s="5">
        <f>VLOOKUP(A48,Yahoo!46:1045,6,FALSE)</f>
        <v>0.55</v>
      </c>
      <c r="N48" s="5">
        <f t="shared" si="5"/>
        <v>-0.35</v>
      </c>
      <c r="O48" s="5">
        <f t="shared" si="6"/>
        <v>0</v>
      </c>
      <c r="P48" s="5">
        <f>VLOOKUP(A48,KenPom!46:1045,7,FALSE)</f>
        <v>0.02</v>
      </c>
      <c r="Q48" s="5">
        <f>VLOOKUP(A48,Yahoo!46:1045,7,FALSE)</f>
        <v>0.24</v>
      </c>
      <c r="R48" s="5">
        <f t="shared" si="7"/>
        <v>-0.22</v>
      </c>
      <c r="S48" s="5">
        <f t="shared" si="8"/>
        <v>0</v>
      </c>
      <c r="T48" s="5">
        <f>VLOOKUP(A48,KenPom!46:1045,8,FALSE)</f>
        <v>0.001</v>
      </c>
      <c r="U48" s="5">
        <f>VLOOKUP(A48,Yahoo!46:1045,8,FALSE)</f>
        <v>0.1</v>
      </c>
      <c r="V48" s="5">
        <f t="shared" si="9"/>
        <v>-0.099</v>
      </c>
      <c r="W48" s="5">
        <f t="shared" si="10"/>
        <v>0</v>
      </c>
      <c r="X48" s="5">
        <f>VLOOKUP(A48,KenPom!46:1045,9,FALSE)</f>
        <v>0.0001</v>
      </c>
      <c r="Y48" s="5">
        <f>VLOOKUP(A48,Yahoo!46:1045,9,FALSE)</f>
        <v>0.04</v>
      </c>
      <c r="Z48" s="5">
        <f t="shared" si="11"/>
        <v>-0.0399</v>
      </c>
      <c r="AA48" s="5">
        <f t="shared" si="12"/>
        <v>0</v>
      </c>
    </row>
    <row r="49">
      <c r="A49" s="4" t="s">
        <v>63</v>
      </c>
      <c r="B49" s="4">
        <v>12.0</v>
      </c>
      <c r="C49" s="4" t="s">
        <v>18</v>
      </c>
      <c r="D49" s="5">
        <f>VLOOKUP(A49,KenPom!47:1046,4,FALSE)</f>
        <v>21.8</v>
      </c>
      <c r="E49" s="5">
        <f>VLOOKUP(A49,Yahoo!47:1046,4,FALSE)</f>
        <v>21.34</v>
      </c>
      <c r="F49" s="5">
        <f t="shared" si="1"/>
        <v>0.46</v>
      </c>
      <c r="G49" s="5">
        <f t="shared" si="2"/>
        <v>0.1</v>
      </c>
      <c r="H49" s="5">
        <f>VLOOKUP(A49,KenPom!47:1046,5,FALSE)</f>
        <v>5.4</v>
      </c>
      <c r="I49" s="5">
        <f>VLOOKUP(A49,Yahoo!47:1046,5,FALSE)</f>
        <v>4.97</v>
      </c>
      <c r="J49" s="5">
        <f t="shared" si="3"/>
        <v>0.43</v>
      </c>
      <c r="K49" s="5">
        <f t="shared" si="4"/>
        <v>0.02</v>
      </c>
      <c r="L49" s="5">
        <f>VLOOKUP(A49,KenPom!47:1046,6,FALSE)</f>
        <v>0.4</v>
      </c>
      <c r="M49" s="5">
        <f>VLOOKUP(A49,Yahoo!47:1046,6,FALSE)</f>
        <v>0.52</v>
      </c>
      <c r="N49" s="5">
        <f t="shared" si="5"/>
        <v>-0.12</v>
      </c>
      <c r="O49" s="5">
        <f t="shared" si="6"/>
        <v>0</v>
      </c>
      <c r="P49" s="5">
        <f>VLOOKUP(A49,KenPom!47:1046,7,FALSE)</f>
        <v>0.07</v>
      </c>
      <c r="Q49" s="5">
        <f>VLOOKUP(A49,Yahoo!47:1046,7,FALSE)</f>
        <v>0.23</v>
      </c>
      <c r="R49" s="5">
        <f t="shared" si="7"/>
        <v>-0.16</v>
      </c>
      <c r="S49" s="5">
        <f t="shared" si="8"/>
        <v>0</v>
      </c>
      <c r="T49" s="5">
        <f>VLOOKUP(A49,KenPom!47:1046,8,FALSE)</f>
        <v>0.009</v>
      </c>
      <c r="U49" s="5">
        <f>VLOOKUP(A49,Yahoo!47:1046,8,FALSE)</f>
        <v>0.1</v>
      </c>
      <c r="V49" s="5">
        <f t="shared" si="9"/>
        <v>-0.091</v>
      </c>
      <c r="W49" s="5">
        <f t="shared" si="10"/>
        <v>0</v>
      </c>
      <c r="X49" s="5">
        <f>VLOOKUP(A49,KenPom!47:1046,9,FALSE)</f>
        <v>0.002</v>
      </c>
      <c r="Y49" s="5">
        <f>VLOOKUP(A49,Yahoo!47:1046,9,FALSE)</f>
        <v>0.05</v>
      </c>
      <c r="Z49" s="5">
        <f t="shared" si="11"/>
        <v>-0.048</v>
      </c>
      <c r="AA49" s="5">
        <f t="shared" si="12"/>
        <v>0</v>
      </c>
    </row>
    <row r="50">
      <c r="A50" s="4" t="s">
        <v>64</v>
      </c>
      <c r="B50" s="4">
        <v>12.0</v>
      </c>
      <c r="C50" s="4" t="s">
        <v>20</v>
      </c>
      <c r="D50" s="5">
        <f>VLOOKUP(A50,KenPom!48:1047,4,FALSE)</f>
        <v>17.7</v>
      </c>
      <c r="E50" s="5">
        <f>VLOOKUP(A50,Yahoo!48:1047,4,FALSE)</f>
        <v>15.09</v>
      </c>
      <c r="F50" s="5">
        <f t="shared" si="1"/>
        <v>2.61</v>
      </c>
      <c r="G50" s="5">
        <f t="shared" si="2"/>
        <v>0.46</v>
      </c>
      <c r="H50" s="5">
        <f>VLOOKUP(A50,KenPom!48:1047,5,FALSE)</f>
        <v>4.4</v>
      </c>
      <c r="I50" s="5">
        <f>VLOOKUP(A50,Yahoo!48:1047,5,FALSE)</f>
        <v>4.94</v>
      </c>
      <c r="J50" s="5">
        <f t="shared" si="3"/>
        <v>-0.54</v>
      </c>
      <c r="K50" s="5">
        <f t="shared" si="4"/>
        <v>-0.02</v>
      </c>
      <c r="L50" s="5">
        <f>VLOOKUP(A50,KenPom!48:1047,6,FALSE)</f>
        <v>0.6</v>
      </c>
      <c r="M50" s="5">
        <f>VLOOKUP(A50,Yahoo!48:1047,6,FALSE)</f>
        <v>0.63</v>
      </c>
      <c r="N50" s="5">
        <f t="shared" si="5"/>
        <v>-0.03</v>
      </c>
      <c r="O50" s="5">
        <f t="shared" si="6"/>
        <v>0</v>
      </c>
      <c r="P50" s="5">
        <f>VLOOKUP(A50,KenPom!48:1047,7,FALSE)</f>
        <v>0.08</v>
      </c>
      <c r="Q50" s="5">
        <f>VLOOKUP(A50,Yahoo!48:1047,7,FALSE)</f>
        <v>0.26</v>
      </c>
      <c r="R50" s="5">
        <f t="shared" si="7"/>
        <v>-0.18</v>
      </c>
      <c r="S50" s="5">
        <f t="shared" si="8"/>
        <v>0</v>
      </c>
      <c r="T50" s="5">
        <f>VLOOKUP(A50,KenPom!48:1047,8,FALSE)</f>
        <v>0.01</v>
      </c>
      <c r="U50" s="5">
        <f>VLOOKUP(A50,Yahoo!48:1047,8,FALSE)</f>
        <v>0.1</v>
      </c>
      <c r="V50" s="5">
        <f t="shared" si="9"/>
        <v>-0.09</v>
      </c>
      <c r="W50" s="5">
        <f t="shared" si="10"/>
        <v>0</v>
      </c>
      <c r="X50" s="5">
        <f>VLOOKUP(A50,KenPom!48:1047,9,FALSE)</f>
        <v>0.002</v>
      </c>
      <c r="Y50" s="5">
        <f>VLOOKUP(A50,Yahoo!48:1047,9,FALSE)</f>
        <v>0.04</v>
      </c>
      <c r="Z50" s="5">
        <f t="shared" si="11"/>
        <v>-0.038</v>
      </c>
      <c r="AA50" s="5">
        <f t="shared" si="12"/>
        <v>0</v>
      </c>
    </row>
    <row r="51">
      <c r="A51" s="4" t="s">
        <v>65</v>
      </c>
      <c r="B51" s="4">
        <v>13.0</v>
      </c>
      <c r="C51" s="4" t="s">
        <v>14</v>
      </c>
      <c r="D51" s="5">
        <f>VLOOKUP(A51,KenPom!49:1048,4,FALSE)</f>
        <v>13.3</v>
      </c>
      <c r="E51" s="5">
        <f>VLOOKUP(A51,Yahoo!49:1048,4,FALSE)</f>
        <v>4.35</v>
      </c>
      <c r="F51" s="5">
        <f t="shared" si="1"/>
        <v>8.95</v>
      </c>
      <c r="G51" s="5">
        <f t="shared" si="2"/>
        <v>1.19</v>
      </c>
      <c r="H51" s="5">
        <f>VLOOKUP(A51,KenPom!49:1048,5,FALSE)</f>
        <v>2.2</v>
      </c>
      <c r="I51" s="5">
        <f>VLOOKUP(A51,Yahoo!49:1048,5,FALSE)</f>
        <v>1.13</v>
      </c>
      <c r="J51" s="5">
        <f t="shared" si="3"/>
        <v>1.07</v>
      </c>
      <c r="K51" s="5">
        <f t="shared" si="4"/>
        <v>0.02</v>
      </c>
      <c r="L51" s="5">
        <f>VLOOKUP(A51,KenPom!49:1048,6,FALSE)</f>
        <v>0.1</v>
      </c>
      <c r="M51" s="5">
        <f>VLOOKUP(A51,Yahoo!49:1048,6,FALSE)</f>
        <v>0.33</v>
      </c>
      <c r="N51" s="5">
        <f t="shared" si="5"/>
        <v>-0.23</v>
      </c>
      <c r="O51" s="5">
        <f t="shared" si="6"/>
        <v>0</v>
      </c>
      <c r="P51" s="5">
        <f>VLOOKUP(A51,KenPom!49:1048,7,FALSE)</f>
        <v>0.01</v>
      </c>
      <c r="Q51" s="5">
        <f>VLOOKUP(A51,Yahoo!49:1048,7,FALSE)</f>
        <v>0.14</v>
      </c>
      <c r="R51" s="5">
        <f t="shared" si="7"/>
        <v>-0.13</v>
      </c>
      <c r="S51" s="5">
        <f t="shared" si="8"/>
        <v>0</v>
      </c>
      <c r="T51" s="5">
        <f>VLOOKUP(A51,KenPom!49:1048,8,FALSE)</f>
        <v>0.001</v>
      </c>
      <c r="U51" s="5">
        <f>VLOOKUP(A51,Yahoo!49:1048,8,FALSE)</f>
        <v>0.07</v>
      </c>
      <c r="V51" s="5">
        <f t="shared" si="9"/>
        <v>-0.069</v>
      </c>
      <c r="W51" s="5">
        <f t="shared" si="10"/>
        <v>0</v>
      </c>
      <c r="X51" s="5">
        <f>VLOOKUP(A51,KenPom!49:1048,9,FALSE)</f>
        <v>0.0001</v>
      </c>
      <c r="Y51" s="5">
        <f>VLOOKUP(A51,Yahoo!49:1048,9,FALSE)</f>
        <v>0.03</v>
      </c>
      <c r="Z51" s="5">
        <f t="shared" si="11"/>
        <v>-0.0299</v>
      </c>
      <c r="AA51" s="5">
        <f t="shared" si="12"/>
        <v>0</v>
      </c>
    </row>
    <row r="52">
      <c r="A52" s="4" t="s">
        <v>66</v>
      </c>
      <c r="B52" s="4">
        <v>13.0</v>
      </c>
      <c r="C52" s="4" t="s">
        <v>16</v>
      </c>
      <c r="D52" s="5">
        <f>VLOOKUP(A52,KenPom!50:1049,4,FALSE)</f>
        <v>9.4</v>
      </c>
      <c r="E52" s="5">
        <f>VLOOKUP(A52,Yahoo!50:1049,4,FALSE)</f>
        <v>6.94</v>
      </c>
      <c r="F52" s="5">
        <f t="shared" si="1"/>
        <v>2.46</v>
      </c>
      <c r="G52" s="5">
        <f t="shared" si="2"/>
        <v>0.23</v>
      </c>
      <c r="H52" s="5">
        <f>VLOOKUP(A52,KenPom!50:1049,5,FALSE)</f>
        <v>1.7</v>
      </c>
      <c r="I52" s="5">
        <f>VLOOKUP(A52,Yahoo!50:1049,5,FALSE)</f>
        <v>2.17</v>
      </c>
      <c r="J52" s="5">
        <f t="shared" si="3"/>
        <v>-0.47</v>
      </c>
      <c r="K52" s="5">
        <f t="shared" si="4"/>
        <v>-0.01</v>
      </c>
      <c r="L52" s="5">
        <f>VLOOKUP(A52,KenPom!50:1049,6,FALSE)</f>
        <v>0.07</v>
      </c>
      <c r="M52" s="5">
        <f>VLOOKUP(A52,Yahoo!50:1049,6,FALSE)</f>
        <v>0.55</v>
      </c>
      <c r="N52" s="5">
        <f t="shared" si="5"/>
        <v>-0.48</v>
      </c>
      <c r="O52" s="5">
        <f t="shared" si="6"/>
        <v>0</v>
      </c>
      <c r="P52" s="5">
        <f>VLOOKUP(A52,KenPom!50:1049,7,FALSE)</f>
        <v>0.007</v>
      </c>
      <c r="Q52" s="5">
        <f>VLOOKUP(A52,Yahoo!50:1049,7,FALSE)</f>
        <v>0.26</v>
      </c>
      <c r="R52" s="5">
        <f t="shared" si="7"/>
        <v>-0.253</v>
      </c>
      <c r="S52" s="5">
        <f t="shared" si="8"/>
        <v>0</v>
      </c>
      <c r="T52" s="5">
        <f>VLOOKUP(A52,KenPom!50:1049,8,FALSE)</f>
        <v>0.0001</v>
      </c>
      <c r="U52" s="5">
        <f>VLOOKUP(A52,Yahoo!50:1049,8,FALSE)</f>
        <v>0.13</v>
      </c>
      <c r="V52" s="5">
        <f t="shared" si="9"/>
        <v>-0.1299</v>
      </c>
      <c r="W52" s="5">
        <f t="shared" si="10"/>
        <v>0</v>
      </c>
      <c r="X52" s="5">
        <f>VLOOKUP(A52,KenPom!50:1049,9,FALSE)</f>
        <v>0.0001</v>
      </c>
      <c r="Y52" s="5">
        <f>VLOOKUP(A52,Yahoo!50:1049,9,FALSE)</f>
        <v>0.06</v>
      </c>
      <c r="Z52" s="5">
        <f t="shared" si="11"/>
        <v>-0.0599</v>
      </c>
      <c r="AA52" s="5">
        <f t="shared" si="12"/>
        <v>0</v>
      </c>
    </row>
    <row r="53">
      <c r="A53" s="4" t="s">
        <v>67</v>
      </c>
      <c r="B53" s="4">
        <v>13.0</v>
      </c>
      <c r="C53" s="4" t="s">
        <v>18</v>
      </c>
      <c r="D53" s="5">
        <f>VLOOKUP(A53,KenPom!51:1050,4,FALSE)</f>
        <v>15.1</v>
      </c>
      <c r="E53" s="5">
        <f>VLOOKUP(A53,Yahoo!51:1050,4,FALSE)</f>
        <v>6.96</v>
      </c>
      <c r="F53" s="5">
        <f t="shared" si="1"/>
        <v>8.14</v>
      </c>
      <c r="G53" s="5">
        <f t="shared" si="2"/>
        <v>1.23</v>
      </c>
      <c r="H53" s="5">
        <f>VLOOKUP(A53,KenPom!51:1050,5,FALSE)</f>
        <v>3.5</v>
      </c>
      <c r="I53" s="5">
        <f>VLOOKUP(A53,Yahoo!51:1050,5,FALSE)</f>
        <v>2.06</v>
      </c>
      <c r="J53" s="5">
        <f t="shared" si="3"/>
        <v>1.44</v>
      </c>
      <c r="K53" s="5">
        <f t="shared" si="4"/>
        <v>0.05</v>
      </c>
      <c r="L53" s="5">
        <f>VLOOKUP(A53,KenPom!51:1050,6,FALSE)</f>
        <v>0.2</v>
      </c>
      <c r="M53" s="5">
        <f>VLOOKUP(A53,Yahoo!51:1050,6,FALSE)</f>
        <v>0.44</v>
      </c>
      <c r="N53" s="5">
        <f t="shared" si="5"/>
        <v>-0.24</v>
      </c>
      <c r="O53" s="5">
        <f t="shared" si="6"/>
        <v>0</v>
      </c>
      <c r="P53" s="5">
        <f>VLOOKUP(A53,KenPom!51:1050,7,FALSE)</f>
        <v>0.03</v>
      </c>
      <c r="Q53" s="5">
        <f>VLOOKUP(A53,Yahoo!51:1050,7,FALSE)</f>
        <v>0.19</v>
      </c>
      <c r="R53" s="5">
        <f t="shared" si="7"/>
        <v>-0.16</v>
      </c>
      <c r="S53" s="5">
        <f t="shared" si="8"/>
        <v>0</v>
      </c>
      <c r="T53" s="5">
        <f>VLOOKUP(A53,KenPom!51:1050,8,FALSE)</f>
        <v>0.004</v>
      </c>
      <c r="U53" s="5">
        <f>VLOOKUP(A53,Yahoo!51:1050,8,FALSE)</f>
        <v>0.09</v>
      </c>
      <c r="V53" s="5">
        <f t="shared" si="9"/>
        <v>-0.086</v>
      </c>
      <c r="W53" s="5">
        <f t="shared" si="10"/>
        <v>0</v>
      </c>
      <c r="X53" s="5">
        <f>VLOOKUP(A53,KenPom!51:1050,9,FALSE)</f>
        <v>0.0005</v>
      </c>
      <c r="Y53" s="5">
        <f>VLOOKUP(A53,Yahoo!51:1050,9,FALSE)</f>
        <v>0.04</v>
      </c>
      <c r="Z53" s="5">
        <f t="shared" si="11"/>
        <v>-0.0395</v>
      </c>
      <c r="AA53" s="5">
        <f t="shared" si="12"/>
        <v>0</v>
      </c>
    </row>
    <row r="54">
      <c r="A54" s="4" t="s">
        <v>68</v>
      </c>
      <c r="B54" s="4">
        <v>13.0</v>
      </c>
      <c r="C54" s="4" t="s">
        <v>20</v>
      </c>
      <c r="D54" s="5">
        <f>VLOOKUP(A54,KenPom!52:1051,4,FALSE)</f>
        <v>7.5</v>
      </c>
      <c r="E54" s="5">
        <f>VLOOKUP(A54,Yahoo!52:1051,4,FALSE)</f>
        <v>11.23</v>
      </c>
      <c r="F54" s="5">
        <f t="shared" si="1"/>
        <v>-3.73</v>
      </c>
      <c r="G54" s="5">
        <f t="shared" si="2"/>
        <v>-0.28</v>
      </c>
      <c r="H54" s="5">
        <f>VLOOKUP(A54,KenPom!52:1051,5,FALSE)</f>
        <v>0.7</v>
      </c>
      <c r="I54" s="5">
        <f>VLOOKUP(A54,Yahoo!52:1051,5,FALSE)</f>
        <v>2.11</v>
      </c>
      <c r="J54" s="5">
        <f t="shared" si="3"/>
        <v>-1.41</v>
      </c>
      <c r="K54" s="5">
        <f t="shared" si="4"/>
        <v>-0.01</v>
      </c>
      <c r="L54" s="5">
        <f>VLOOKUP(A54,KenPom!52:1051,6,FALSE)</f>
        <v>0.03</v>
      </c>
      <c r="M54" s="5">
        <f>VLOOKUP(A54,Yahoo!52:1051,6,FALSE)</f>
        <v>0.42</v>
      </c>
      <c r="N54" s="5">
        <f t="shared" si="5"/>
        <v>-0.39</v>
      </c>
      <c r="O54" s="5">
        <f t="shared" si="6"/>
        <v>0</v>
      </c>
      <c r="P54" s="5">
        <f>VLOOKUP(A54,KenPom!52:1051,7,FALSE)</f>
        <v>0.001</v>
      </c>
      <c r="Q54" s="5">
        <f>VLOOKUP(A54,Yahoo!52:1051,7,FALSE)</f>
        <v>0.18</v>
      </c>
      <c r="R54" s="5">
        <f t="shared" si="7"/>
        <v>-0.179</v>
      </c>
      <c r="S54" s="5">
        <f t="shared" si="8"/>
        <v>0</v>
      </c>
      <c r="T54" s="5">
        <f>VLOOKUP(A54,KenPom!52:1051,8,FALSE)</f>
        <v>0.0001</v>
      </c>
      <c r="U54" s="5">
        <f>VLOOKUP(A54,Yahoo!52:1051,8,FALSE)</f>
        <v>0.07</v>
      </c>
      <c r="V54" s="5">
        <f t="shared" si="9"/>
        <v>-0.0699</v>
      </c>
      <c r="W54" s="5">
        <f t="shared" si="10"/>
        <v>0</v>
      </c>
      <c r="X54" s="5">
        <f>VLOOKUP(A54,KenPom!52:1051,9,FALSE)</f>
        <v>0.0001</v>
      </c>
      <c r="Y54" s="5">
        <f>VLOOKUP(A54,Yahoo!52:1051,9,FALSE)</f>
        <v>0.03</v>
      </c>
      <c r="Z54" s="5">
        <f t="shared" si="11"/>
        <v>-0.0299</v>
      </c>
      <c r="AA54" s="5">
        <f t="shared" si="12"/>
        <v>0</v>
      </c>
    </row>
    <row r="55">
      <c r="A55" s="4" t="s">
        <v>69</v>
      </c>
      <c r="B55" s="4">
        <v>14.0</v>
      </c>
      <c r="C55" s="4" t="s">
        <v>14</v>
      </c>
      <c r="D55" s="5">
        <f>VLOOKUP(A55,KenPom!53:1052,4,FALSE)</f>
        <v>8.4</v>
      </c>
      <c r="E55" s="5">
        <f>VLOOKUP(A55,Yahoo!53:1052,4,FALSE)</f>
        <v>3.94</v>
      </c>
      <c r="F55" s="5">
        <f t="shared" si="1"/>
        <v>4.46</v>
      </c>
      <c r="G55" s="5">
        <f t="shared" si="2"/>
        <v>0.37</v>
      </c>
      <c r="H55" s="5">
        <f>VLOOKUP(A55,KenPom!53:1052,5,FALSE)</f>
        <v>1.2</v>
      </c>
      <c r="I55" s="5">
        <f>VLOOKUP(A55,Yahoo!53:1052,5,FALSE)</f>
        <v>1.31</v>
      </c>
      <c r="J55" s="5">
        <f t="shared" si="3"/>
        <v>-0.11</v>
      </c>
      <c r="K55" s="5">
        <f t="shared" si="4"/>
        <v>0</v>
      </c>
      <c r="L55" s="5">
        <f>VLOOKUP(A55,KenPom!53:1052,6,FALSE)</f>
        <v>0.2</v>
      </c>
      <c r="M55" s="5">
        <f>VLOOKUP(A55,Yahoo!53:1052,6,FALSE)</f>
        <v>0.37</v>
      </c>
      <c r="N55" s="5">
        <f t="shared" si="5"/>
        <v>-0.17</v>
      </c>
      <c r="O55" s="5">
        <f t="shared" si="6"/>
        <v>0</v>
      </c>
      <c r="P55" s="5">
        <f>VLOOKUP(A55,KenPom!53:1052,7,FALSE)</f>
        <v>0.008</v>
      </c>
      <c r="Q55" s="5">
        <f>VLOOKUP(A55,Yahoo!53:1052,7,FALSE)</f>
        <v>0.14</v>
      </c>
      <c r="R55" s="5">
        <f t="shared" si="7"/>
        <v>-0.132</v>
      </c>
      <c r="S55" s="5">
        <f t="shared" si="8"/>
        <v>0</v>
      </c>
      <c r="T55" s="5">
        <f>VLOOKUP(A55,KenPom!53:1052,8,FALSE)</f>
        <v>0.0005</v>
      </c>
      <c r="U55" s="5">
        <f>VLOOKUP(A55,Yahoo!53:1052,8,FALSE)</f>
        <v>0.06</v>
      </c>
      <c r="V55" s="5">
        <f t="shared" si="9"/>
        <v>-0.0595</v>
      </c>
      <c r="W55" s="5">
        <f t="shared" si="10"/>
        <v>0</v>
      </c>
      <c r="X55" s="5">
        <f>VLOOKUP(A55,KenPom!53:1052,9,FALSE)</f>
        <v>0.0001</v>
      </c>
      <c r="Y55" s="5">
        <f>VLOOKUP(A55,Yahoo!53:1052,9,FALSE)</f>
        <v>0.03</v>
      </c>
      <c r="Z55" s="5">
        <f t="shared" si="11"/>
        <v>-0.0299</v>
      </c>
      <c r="AA55" s="5">
        <f t="shared" si="12"/>
        <v>0</v>
      </c>
    </row>
    <row r="56">
      <c r="A56" s="4" t="s">
        <v>70</v>
      </c>
      <c r="B56" s="4">
        <v>14.0</v>
      </c>
      <c r="C56" s="4" t="s">
        <v>16</v>
      </c>
      <c r="D56" s="5">
        <f>VLOOKUP(A56,KenPom!54:1053,4,FALSE)</f>
        <v>3.7</v>
      </c>
      <c r="E56" s="5">
        <f>VLOOKUP(A56,Yahoo!54:1053,4,FALSE)</f>
        <v>4.08</v>
      </c>
      <c r="F56" s="5">
        <f t="shared" si="1"/>
        <v>-0.38</v>
      </c>
      <c r="G56" s="5">
        <f t="shared" si="2"/>
        <v>-0.01</v>
      </c>
      <c r="H56" s="5">
        <f>VLOOKUP(A56,KenPom!54:1053,5,FALSE)</f>
        <v>0.3</v>
      </c>
      <c r="I56" s="5">
        <f>VLOOKUP(A56,Yahoo!54:1053,5,FALSE)</f>
        <v>1.53</v>
      </c>
      <c r="J56" s="5">
        <f t="shared" si="3"/>
        <v>-1.23</v>
      </c>
      <c r="K56" s="5">
        <f t="shared" si="4"/>
        <v>0</v>
      </c>
      <c r="L56" s="5">
        <f>VLOOKUP(A56,KenPom!54:1053,6,FALSE)</f>
        <v>0.02</v>
      </c>
      <c r="M56" s="5">
        <f>VLOOKUP(A56,Yahoo!54:1053,6,FALSE)</f>
        <v>0.35</v>
      </c>
      <c r="N56" s="5">
        <f t="shared" si="5"/>
        <v>-0.33</v>
      </c>
      <c r="O56" s="5">
        <f t="shared" si="6"/>
        <v>0</v>
      </c>
      <c r="P56" s="5">
        <f>VLOOKUP(A56,KenPom!54:1053,7,FALSE)</f>
        <v>0.0005</v>
      </c>
      <c r="Q56" s="5">
        <f>VLOOKUP(A56,Yahoo!54:1053,7,FALSE)</f>
        <v>0.15</v>
      </c>
      <c r="R56" s="5">
        <f t="shared" si="7"/>
        <v>-0.1495</v>
      </c>
      <c r="S56" s="5">
        <f t="shared" si="8"/>
        <v>0</v>
      </c>
      <c r="T56" s="5">
        <f>VLOOKUP(A56,KenPom!54:1053,8,FALSE)</f>
        <v>0.0001</v>
      </c>
      <c r="U56" s="5">
        <f>VLOOKUP(A56,Yahoo!54:1053,8,FALSE)</f>
        <v>0.07</v>
      </c>
      <c r="V56" s="5">
        <f t="shared" si="9"/>
        <v>-0.0699</v>
      </c>
      <c r="W56" s="5">
        <f t="shared" si="10"/>
        <v>0</v>
      </c>
      <c r="X56" s="5">
        <f>VLOOKUP(A56,KenPom!54:1053,9,FALSE)</f>
        <v>0.0001</v>
      </c>
      <c r="Y56" s="5">
        <f>VLOOKUP(A56,Yahoo!54:1053,9,FALSE)</f>
        <v>0.03</v>
      </c>
      <c r="Z56" s="5">
        <f t="shared" si="11"/>
        <v>-0.0299</v>
      </c>
      <c r="AA56" s="5">
        <f t="shared" si="12"/>
        <v>0</v>
      </c>
    </row>
    <row r="57">
      <c r="A57" s="4" t="s">
        <v>71</v>
      </c>
      <c r="B57" s="4">
        <v>14.0</v>
      </c>
      <c r="C57" s="4" t="s">
        <v>18</v>
      </c>
      <c r="D57" s="5">
        <f>VLOOKUP(A57,KenPom!55:1054,4,FALSE)</f>
        <v>7</v>
      </c>
      <c r="E57" s="5">
        <f>VLOOKUP(A57,Yahoo!55:1054,4,FALSE)</f>
        <v>4.78</v>
      </c>
      <c r="F57" s="5">
        <f t="shared" si="1"/>
        <v>2.22</v>
      </c>
      <c r="G57" s="5">
        <f t="shared" si="2"/>
        <v>0.16</v>
      </c>
      <c r="H57" s="5">
        <f>VLOOKUP(A57,KenPom!55:1054,5,FALSE)</f>
        <v>0.8</v>
      </c>
      <c r="I57" s="5">
        <f>VLOOKUP(A57,Yahoo!55:1054,5,FALSE)</f>
        <v>1.38</v>
      </c>
      <c r="J57" s="5">
        <f t="shared" si="3"/>
        <v>-0.58</v>
      </c>
      <c r="K57" s="5">
        <f t="shared" si="4"/>
        <v>0</v>
      </c>
      <c r="L57" s="5">
        <f>VLOOKUP(A57,KenPom!55:1054,6,FALSE)</f>
        <v>0.04</v>
      </c>
      <c r="M57" s="5">
        <f>VLOOKUP(A57,Yahoo!55:1054,6,FALSE)</f>
        <v>0.41</v>
      </c>
      <c r="N57" s="5">
        <f t="shared" si="5"/>
        <v>-0.37</v>
      </c>
      <c r="O57" s="5">
        <f t="shared" si="6"/>
        <v>0</v>
      </c>
      <c r="P57" s="5">
        <f>VLOOKUP(A57,KenPom!55:1054,7,FALSE)</f>
        <v>0.002</v>
      </c>
      <c r="Q57" s="5">
        <f>VLOOKUP(A57,Yahoo!55:1054,7,FALSE)</f>
        <v>0.16</v>
      </c>
      <c r="R57" s="5">
        <f t="shared" si="7"/>
        <v>-0.158</v>
      </c>
      <c r="S57" s="5">
        <f t="shared" si="8"/>
        <v>0</v>
      </c>
      <c r="T57" s="5">
        <f>VLOOKUP(A57,KenPom!55:1054,8,FALSE)</f>
        <v>0.0001</v>
      </c>
      <c r="U57" s="5">
        <f>VLOOKUP(A57,Yahoo!55:1054,8,FALSE)</f>
        <v>0.07</v>
      </c>
      <c r="V57" s="5">
        <f t="shared" si="9"/>
        <v>-0.0699</v>
      </c>
      <c r="W57" s="5">
        <f t="shared" si="10"/>
        <v>0</v>
      </c>
      <c r="X57" s="5">
        <f>VLOOKUP(A57,KenPom!55:1054,9,FALSE)</f>
        <v>0.0001</v>
      </c>
      <c r="Y57" s="5">
        <f>VLOOKUP(A57,Yahoo!55:1054,9,FALSE)</f>
        <v>0.04</v>
      </c>
      <c r="Z57" s="5">
        <f t="shared" si="11"/>
        <v>-0.0399</v>
      </c>
      <c r="AA57" s="5">
        <f t="shared" si="12"/>
        <v>0</v>
      </c>
    </row>
    <row r="58">
      <c r="A58" s="4" t="s">
        <v>72</v>
      </c>
      <c r="B58" s="4">
        <v>14.0</v>
      </c>
      <c r="C58" s="4" t="s">
        <v>20</v>
      </c>
      <c r="D58" s="5">
        <f>VLOOKUP(A58,KenPom!56:1055,4,FALSE)</f>
        <v>3</v>
      </c>
      <c r="E58" s="5">
        <f>VLOOKUP(A58,Yahoo!56:1055,4,FALSE)</f>
        <v>5.56</v>
      </c>
      <c r="F58" s="5">
        <f t="shared" si="1"/>
        <v>-2.56</v>
      </c>
      <c r="G58" s="5">
        <f t="shared" si="2"/>
        <v>-0.08</v>
      </c>
      <c r="H58" s="5">
        <f>VLOOKUP(A58,KenPom!56:1055,5,FALSE)</f>
        <v>0.4</v>
      </c>
      <c r="I58" s="5">
        <f>VLOOKUP(A58,Yahoo!56:1055,5,FALSE)</f>
        <v>1.84</v>
      </c>
      <c r="J58" s="5">
        <f t="shared" si="3"/>
        <v>-1.44</v>
      </c>
      <c r="K58" s="5">
        <f t="shared" si="4"/>
        <v>-0.01</v>
      </c>
      <c r="L58" s="5">
        <f>VLOOKUP(A58,KenPom!56:1055,6,FALSE)</f>
        <v>0.02</v>
      </c>
      <c r="M58" s="5">
        <f>VLOOKUP(A58,Yahoo!56:1055,6,FALSE)</f>
        <v>0.74</v>
      </c>
      <c r="N58" s="5">
        <f t="shared" si="5"/>
        <v>-0.72</v>
      </c>
      <c r="O58" s="5">
        <f t="shared" si="6"/>
        <v>0</v>
      </c>
      <c r="P58" s="5">
        <f>VLOOKUP(A58,KenPom!56:1055,7,FALSE)</f>
        <v>0.0007</v>
      </c>
      <c r="Q58" s="5">
        <f>VLOOKUP(A58,Yahoo!56:1055,7,FALSE)</f>
        <v>0.46</v>
      </c>
      <c r="R58" s="5">
        <f t="shared" si="7"/>
        <v>-0.4593</v>
      </c>
      <c r="S58" s="5">
        <f t="shared" si="8"/>
        <v>0</v>
      </c>
      <c r="T58" s="5">
        <f>VLOOKUP(A58,KenPom!56:1055,8,FALSE)</f>
        <v>0.0001</v>
      </c>
      <c r="U58" s="5">
        <f>VLOOKUP(A58,Yahoo!56:1055,8,FALSE)</f>
        <v>0.31</v>
      </c>
      <c r="V58" s="5">
        <f t="shared" si="9"/>
        <v>-0.3099</v>
      </c>
      <c r="W58" s="5">
        <f t="shared" si="10"/>
        <v>0</v>
      </c>
      <c r="X58" s="5">
        <f>VLOOKUP(A58,KenPom!56:1055,9,FALSE)</f>
        <v>0.0001</v>
      </c>
      <c r="Y58" s="5">
        <f>VLOOKUP(A58,Yahoo!56:1055,9,FALSE)</f>
        <v>0.2</v>
      </c>
      <c r="Z58" s="5">
        <f t="shared" si="11"/>
        <v>-0.1999</v>
      </c>
      <c r="AA58" s="5">
        <f t="shared" si="12"/>
        <v>0</v>
      </c>
    </row>
    <row r="59">
      <c r="A59" s="4" t="s">
        <v>73</v>
      </c>
      <c r="B59" s="4">
        <v>15.0</v>
      </c>
      <c r="C59" s="4" t="s">
        <v>14</v>
      </c>
      <c r="D59" s="5">
        <f>VLOOKUP(A59,KenPom!57:1056,4,FALSE)</f>
        <v>4.2</v>
      </c>
      <c r="E59" s="5">
        <f>VLOOKUP(A59,Yahoo!57:1056,4,FALSE)</f>
        <v>2.65</v>
      </c>
      <c r="F59" s="5">
        <f t="shared" si="1"/>
        <v>1.55</v>
      </c>
      <c r="G59" s="5">
        <f t="shared" si="2"/>
        <v>0.07</v>
      </c>
      <c r="H59" s="5">
        <f>VLOOKUP(A59,KenPom!57:1056,5,FALSE)</f>
        <v>0.5</v>
      </c>
      <c r="I59" s="5">
        <f>VLOOKUP(A59,Yahoo!57:1056,5,FALSE)</f>
        <v>0.92</v>
      </c>
      <c r="J59" s="5">
        <f t="shared" si="3"/>
        <v>-0.42</v>
      </c>
      <c r="K59" s="5">
        <f t="shared" si="4"/>
        <v>0</v>
      </c>
      <c r="L59" s="5">
        <f>VLOOKUP(A59,KenPom!57:1056,6,FALSE)</f>
        <v>0.02</v>
      </c>
      <c r="M59" s="5">
        <f>VLOOKUP(A59,Yahoo!57:1056,6,FALSE)</f>
        <v>0.43</v>
      </c>
      <c r="N59" s="5">
        <f t="shared" si="5"/>
        <v>-0.41</v>
      </c>
      <c r="O59" s="5">
        <f t="shared" si="6"/>
        <v>0</v>
      </c>
      <c r="P59" s="5">
        <f>VLOOKUP(A59,KenPom!57:1056,7,FALSE)</f>
        <v>0.0005</v>
      </c>
      <c r="Q59" s="5">
        <f>VLOOKUP(A59,Yahoo!57:1056,7,FALSE)</f>
        <v>0.15</v>
      </c>
      <c r="R59" s="5">
        <f t="shared" si="7"/>
        <v>-0.1495</v>
      </c>
      <c r="S59" s="5">
        <f t="shared" si="8"/>
        <v>0</v>
      </c>
      <c r="T59" s="5">
        <f>VLOOKUP(A59,KenPom!57:1056,8,FALSE)</f>
        <v>0.0001</v>
      </c>
      <c r="U59" s="5">
        <f>VLOOKUP(A59,Yahoo!57:1056,8,FALSE)</f>
        <v>0.07</v>
      </c>
      <c r="V59" s="5">
        <f t="shared" si="9"/>
        <v>-0.0699</v>
      </c>
      <c r="W59" s="5">
        <f t="shared" si="10"/>
        <v>0</v>
      </c>
      <c r="X59" s="5">
        <f>VLOOKUP(A59,KenPom!57:1056,9,FALSE)</f>
        <v>0.0001</v>
      </c>
      <c r="Y59" s="5">
        <f>VLOOKUP(A59,Yahoo!57:1056,9,FALSE)</f>
        <v>0.03</v>
      </c>
      <c r="Z59" s="5">
        <f t="shared" si="11"/>
        <v>-0.0299</v>
      </c>
      <c r="AA59" s="5">
        <f t="shared" si="12"/>
        <v>0</v>
      </c>
    </row>
    <row r="60">
      <c r="A60" s="4" t="s">
        <v>74</v>
      </c>
      <c r="B60" s="4">
        <v>15.0</v>
      </c>
      <c r="C60" s="4" t="s">
        <v>16</v>
      </c>
      <c r="D60" s="5">
        <f>VLOOKUP(A60,KenPom!58:1057,4,FALSE)</f>
        <v>2.4</v>
      </c>
      <c r="E60" s="5">
        <f>VLOOKUP(A60,Yahoo!58:1057,4,FALSE)</f>
        <v>2.42</v>
      </c>
      <c r="F60" s="5">
        <f t="shared" si="1"/>
        <v>-0.02</v>
      </c>
      <c r="G60" s="5">
        <f t="shared" si="2"/>
        <v>0</v>
      </c>
      <c r="H60" s="5">
        <f>VLOOKUP(A60,KenPom!58:1057,5,FALSE)</f>
        <v>0.3</v>
      </c>
      <c r="I60" s="5">
        <f>VLOOKUP(A60,Yahoo!58:1057,5,FALSE)</f>
        <v>0.99</v>
      </c>
      <c r="J60" s="5">
        <f t="shared" si="3"/>
        <v>-0.69</v>
      </c>
      <c r="K60" s="5">
        <f t="shared" si="4"/>
        <v>0</v>
      </c>
      <c r="L60" s="5">
        <f>VLOOKUP(A60,KenPom!58:1057,6,FALSE)</f>
        <v>0.01</v>
      </c>
      <c r="M60" s="5">
        <f>VLOOKUP(A60,Yahoo!58:1057,6,FALSE)</f>
        <v>0.46</v>
      </c>
      <c r="N60" s="5">
        <f t="shared" si="5"/>
        <v>-0.45</v>
      </c>
      <c r="O60" s="5">
        <f t="shared" si="6"/>
        <v>0</v>
      </c>
      <c r="P60" s="5">
        <f>VLOOKUP(A60,KenPom!58:1057,7,FALSE)</f>
        <v>0.0002</v>
      </c>
      <c r="Q60" s="5">
        <f>VLOOKUP(A60,Yahoo!58:1057,7,FALSE)</f>
        <v>0.18</v>
      </c>
      <c r="R60" s="5">
        <f t="shared" si="7"/>
        <v>-0.1798</v>
      </c>
      <c r="S60" s="5">
        <f t="shared" si="8"/>
        <v>0</v>
      </c>
      <c r="T60" s="5">
        <f>VLOOKUP(A60,KenPom!58:1057,8,FALSE)</f>
        <v>0.0001</v>
      </c>
      <c r="U60" s="5">
        <f>VLOOKUP(A60,Yahoo!58:1057,8,FALSE)</f>
        <v>0.08</v>
      </c>
      <c r="V60" s="5">
        <f t="shared" si="9"/>
        <v>-0.0799</v>
      </c>
      <c r="W60" s="5">
        <f t="shared" si="10"/>
        <v>0</v>
      </c>
      <c r="X60" s="5">
        <f>VLOOKUP(A60,KenPom!58:1057,9,FALSE)</f>
        <v>0.0001</v>
      </c>
      <c r="Y60" s="5">
        <f>VLOOKUP(A60,Yahoo!58:1057,9,FALSE)</f>
        <v>0.03</v>
      </c>
      <c r="Z60" s="5">
        <f t="shared" si="11"/>
        <v>-0.0299</v>
      </c>
      <c r="AA60" s="5">
        <f t="shared" si="12"/>
        <v>0</v>
      </c>
    </row>
    <row r="61">
      <c r="A61" s="4" t="s">
        <v>75</v>
      </c>
      <c r="B61" s="4">
        <v>15.0</v>
      </c>
      <c r="C61" s="4" t="s">
        <v>18</v>
      </c>
      <c r="D61" s="5">
        <f>VLOOKUP(A61,KenPom!59:1058,4,FALSE)</f>
        <v>1.6</v>
      </c>
      <c r="E61" s="5">
        <f>VLOOKUP(A61,Yahoo!59:1058,4,FALSE)</f>
        <v>4.07</v>
      </c>
      <c r="F61" s="5">
        <f t="shared" si="1"/>
        <v>-2.47</v>
      </c>
      <c r="G61" s="5">
        <f t="shared" si="2"/>
        <v>-0.04</v>
      </c>
      <c r="H61" s="5">
        <f>VLOOKUP(A61,KenPom!59:1058,5,FALSE)</f>
        <v>0.1</v>
      </c>
      <c r="I61" s="5">
        <f>VLOOKUP(A61,Yahoo!59:1058,5,FALSE)</f>
        <v>1.63</v>
      </c>
      <c r="J61" s="5">
        <f t="shared" si="3"/>
        <v>-1.53</v>
      </c>
      <c r="K61" s="5">
        <f t="shared" si="4"/>
        <v>0</v>
      </c>
      <c r="L61" s="5">
        <f>VLOOKUP(A61,KenPom!59:1058,6,FALSE)</f>
        <v>0.005</v>
      </c>
      <c r="M61" s="5">
        <f>VLOOKUP(A61,Yahoo!59:1058,6,FALSE)</f>
        <v>0.54</v>
      </c>
      <c r="N61" s="5">
        <f t="shared" si="5"/>
        <v>-0.535</v>
      </c>
      <c r="O61" s="5">
        <f t="shared" si="6"/>
        <v>0</v>
      </c>
      <c r="P61" s="5">
        <f>VLOOKUP(A61,KenPom!59:1058,7,FALSE)</f>
        <v>0.0001</v>
      </c>
      <c r="Q61" s="5">
        <f>VLOOKUP(A61,Yahoo!59:1058,7,FALSE)</f>
        <v>0.18</v>
      </c>
      <c r="R61" s="5">
        <f t="shared" si="7"/>
        <v>-0.1799</v>
      </c>
      <c r="S61" s="5">
        <f t="shared" si="8"/>
        <v>0</v>
      </c>
      <c r="T61" s="5">
        <f>VLOOKUP(A61,KenPom!59:1058,8,FALSE)</f>
        <v>0.0001</v>
      </c>
      <c r="U61" s="5">
        <f>VLOOKUP(A61,Yahoo!59:1058,8,FALSE)</f>
        <v>0.08</v>
      </c>
      <c r="V61" s="5">
        <f t="shared" si="9"/>
        <v>-0.0799</v>
      </c>
      <c r="W61" s="5">
        <f t="shared" si="10"/>
        <v>0</v>
      </c>
      <c r="X61" s="5">
        <f>VLOOKUP(A61,KenPom!59:1058,9,FALSE)</f>
        <v>0.0001</v>
      </c>
      <c r="Y61" s="5">
        <f>VLOOKUP(A61,Yahoo!59:1058,9,FALSE)</f>
        <v>0.03</v>
      </c>
      <c r="Z61" s="5">
        <f t="shared" si="11"/>
        <v>-0.0299</v>
      </c>
      <c r="AA61" s="5">
        <f t="shared" si="12"/>
        <v>0</v>
      </c>
    </row>
    <row r="62">
      <c r="A62" s="4" t="s">
        <v>76</v>
      </c>
      <c r="B62" s="4">
        <v>15.0</v>
      </c>
      <c r="C62" s="4" t="s">
        <v>20</v>
      </c>
      <c r="D62" s="5">
        <f>VLOOKUP(A62,KenPom!60:1059,4,FALSE)</f>
        <v>3.1</v>
      </c>
      <c r="E62" s="5">
        <f>VLOOKUP(A62,Yahoo!60:1059,4,FALSE)</f>
        <v>2.99</v>
      </c>
      <c r="F62" s="5">
        <f t="shared" si="1"/>
        <v>0.11</v>
      </c>
      <c r="G62" s="5">
        <f t="shared" si="2"/>
        <v>0</v>
      </c>
      <c r="H62" s="5">
        <f>VLOOKUP(A62,KenPom!60:1059,5,FALSE)</f>
        <v>0.4</v>
      </c>
      <c r="I62" s="5">
        <f>VLOOKUP(A62,Yahoo!60:1059,5,FALSE)</f>
        <v>1.02</v>
      </c>
      <c r="J62" s="5">
        <f t="shared" si="3"/>
        <v>-0.62</v>
      </c>
      <c r="K62" s="5">
        <f t="shared" si="4"/>
        <v>0</v>
      </c>
      <c r="L62" s="5">
        <f>VLOOKUP(A62,KenPom!60:1059,6,FALSE)</f>
        <v>0.02</v>
      </c>
      <c r="M62" s="5">
        <f>VLOOKUP(A62,Yahoo!60:1059,6,FALSE)</f>
        <v>0.46</v>
      </c>
      <c r="N62" s="5">
        <f t="shared" si="5"/>
        <v>-0.44</v>
      </c>
      <c r="O62" s="5">
        <f t="shared" si="6"/>
        <v>0</v>
      </c>
      <c r="P62" s="5">
        <f>VLOOKUP(A62,KenPom!60:1059,7,FALSE)</f>
        <v>0.001</v>
      </c>
      <c r="Q62" s="5">
        <f>VLOOKUP(A62,Yahoo!60:1059,7,FALSE)</f>
        <v>0.17</v>
      </c>
      <c r="R62" s="5">
        <f t="shared" si="7"/>
        <v>-0.169</v>
      </c>
      <c r="S62" s="5">
        <f t="shared" si="8"/>
        <v>0</v>
      </c>
      <c r="T62" s="5">
        <f>VLOOKUP(A62,KenPom!60:1059,8,FALSE)</f>
        <v>0.0001</v>
      </c>
      <c r="U62" s="5">
        <f>VLOOKUP(A62,Yahoo!60:1059,8,FALSE)</f>
        <v>0.07</v>
      </c>
      <c r="V62" s="5">
        <f t="shared" si="9"/>
        <v>-0.0699</v>
      </c>
      <c r="W62" s="5">
        <f t="shared" si="10"/>
        <v>0</v>
      </c>
      <c r="X62" s="5">
        <f>VLOOKUP(A62,KenPom!60:1059,9,FALSE)</f>
        <v>0.0001</v>
      </c>
      <c r="Y62" s="5">
        <f>VLOOKUP(A62,Yahoo!60:1059,9,FALSE)</f>
        <v>0.04</v>
      </c>
      <c r="Z62" s="5">
        <f t="shared" si="11"/>
        <v>-0.0399</v>
      </c>
      <c r="AA62" s="5">
        <f t="shared" si="12"/>
        <v>0</v>
      </c>
    </row>
    <row r="63">
      <c r="A63" s="4" t="s">
        <v>77</v>
      </c>
      <c r="B63" s="4">
        <v>16.0</v>
      </c>
      <c r="C63" s="4" t="s">
        <v>14</v>
      </c>
      <c r="D63" s="5">
        <f>VLOOKUP(A63,KenPom!61:1060,4,FALSE)</f>
        <v>0.9</v>
      </c>
      <c r="E63" s="5">
        <f>VLOOKUP(A63,Yahoo!61:1060,4,FALSE)</f>
        <v>1.34</v>
      </c>
      <c r="F63" s="5">
        <f t="shared" si="1"/>
        <v>-0.44</v>
      </c>
      <c r="G63" s="5">
        <f t="shared" si="2"/>
        <v>0</v>
      </c>
      <c r="H63" s="5">
        <f>VLOOKUP(A63,KenPom!61:1060,5,FALSE)</f>
        <v>0.09</v>
      </c>
      <c r="I63" s="5">
        <f>VLOOKUP(A63,Yahoo!61:1060,5,FALSE)</f>
        <v>0.62</v>
      </c>
      <c r="J63" s="5">
        <f t="shared" si="3"/>
        <v>-0.53</v>
      </c>
      <c r="K63" s="5">
        <f t="shared" si="4"/>
        <v>0</v>
      </c>
      <c r="L63" s="5">
        <f>VLOOKUP(A63,KenPom!61:1060,6,FALSE)</f>
        <v>0.006</v>
      </c>
      <c r="M63" s="5">
        <f>VLOOKUP(A63,Yahoo!61:1060,6,FALSE)</f>
        <v>0.33</v>
      </c>
      <c r="N63" s="5">
        <f t="shared" si="5"/>
        <v>-0.324</v>
      </c>
      <c r="O63" s="5">
        <f t="shared" si="6"/>
        <v>0</v>
      </c>
      <c r="P63" s="5">
        <f>VLOOKUP(A63,KenPom!61:1060,7,FALSE)</f>
        <v>0.0001</v>
      </c>
      <c r="Q63" s="5">
        <f>VLOOKUP(A63,Yahoo!61:1060,7,FALSE)</f>
        <v>0.2</v>
      </c>
      <c r="R63" s="5">
        <f t="shared" si="7"/>
        <v>-0.1999</v>
      </c>
      <c r="S63" s="5">
        <f t="shared" si="8"/>
        <v>0</v>
      </c>
      <c r="T63" s="5">
        <f>VLOOKUP(A63,KenPom!61:1060,8,FALSE)</f>
        <v>0.0001</v>
      </c>
      <c r="U63" s="5">
        <f>VLOOKUP(A63,Yahoo!61:1060,8,FALSE)</f>
        <v>0.1</v>
      </c>
      <c r="V63" s="5">
        <f t="shared" si="9"/>
        <v>-0.0999</v>
      </c>
      <c r="W63" s="5">
        <f t="shared" si="10"/>
        <v>0</v>
      </c>
      <c r="X63" s="5">
        <f>VLOOKUP(A63,KenPom!61:1060,9,FALSE)</f>
        <v>0.0001</v>
      </c>
      <c r="Y63" s="5">
        <f>VLOOKUP(A63,Yahoo!61:1060,9,FALSE)</f>
        <v>0.05</v>
      </c>
      <c r="Z63" s="5">
        <f t="shared" si="11"/>
        <v>-0.0499</v>
      </c>
      <c r="AA63" s="5">
        <f t="shared" si="12"/>
        <v>0</v>
      </c>
    </row>
    <row r="64">
      <c r="A64" s="4" t="s">
        <v>78</v>
      </c>
      <c r="B64" s="4">
        <v>16.0</v>
      </c>
      <c r="C64" s="4" t="s">
        <v>16</v>
      </c>
      <c r="D64" s="5">
        <f>VLOOKUP(A64,KenPom!62:1061,4,FALSE)</f>
        <v>0.4</v>
      </c>
      <c r="E64" s="5">
        <f>VLOOKUP(A64,Yahoo!62:1061,4,FALSE)</f>
        <v>1.58</v>
      </c>
      <c r="F64" s="5">
        <f t="shared" si="1"/>
        <v>-1.18</v>
      </c>
      <c r="G64" s="5">
        <f t="shared" si="2"/>
        <v>0</v>
      </c>
      <c r="H64" s="5">
        <f>VLOOKUP(A64,KenPom!62:1061,5,FALSE)</f>
        <v>0.03</v>
      </c>
      <c r="I64" s="5">
        <f>VLOOKUP(A64,Yahoo!62:1061,5,FALSE)</f>
        <v>0.72</v>
      </c>
      <c r="J64" s="5">
        <f t="shared" si="3"/>
        <v>-0.69</v>
      </c>
      <c r="K64" s="5">
        <f t="shared" si="4"/>
        <v>0</v>
      </c>
      <c r="L64" s="5">
        <f>VLOOKUP(A64,KenPom!62:1061,6,FALSE)</f>
        <v>0.001</v>
      </c>
      <c r="M64" s="5">
        <f>VLOOKUP(A64,Yahoo!62:1061,6,FALSE)</f>
        <v>0.39</v>
      </c>
      <c r="N64" s="5">
        <f t="shared" si="5"/>
        <v>-0.389</v>
      </c>
      <c r="O64" s="5">
        <f t="shared" si="6"/>
        <v>0</v>
      </c>
      <c r="P64" s="5">
        <f>VLOOKUP(A64,KenPom!62:1061,7,FALSE)</f>
        <v>0.0001</v>
      </c>
      <c r="Q64" s="5">
        <f>VLOOKUP(A64,Yahoo!62:1061,7,FALSE)</f>
        <v>0.23</v>
      </c>
      <c r="R64" s="5">
        <f t="shared" si="7"/>
        <v>-0.2299</v>
      </c>
      <c r="S64" s="5">
        <f t="shared" si="8"/>
        <v>0</v>
      </c>
      <c r="T64" s="5">
        <f>VLOOKUP(A64,KenPom!62:1061,8,FALSE)</f>
        <v>0.0001</v>
      </c>
      <c r="U64" s="5">
        <f>VLOOKUP(A64,Yahoo!62:1061,8,FALSE)</f>
        <v>0.11</v>
      </c>
      <c r="V64" s="5">
        <f t="shared" si="9"/>
        <v>-0.1099</v>
      </c>
      <c r="W64" s="5">
        <f t="shared" si="10"/>
        <v>0</v>
      </c>
      <c r="X64" s="5">
        <f>VLOOKUP(A64,KenPom!62:1061,9,FALSE)</f>
        <v>0.0001</v>
      </c>
      <c r="Y64" s="5">
        <f>VLOOKUP(A64,Yahoo!62:1061,9,FALSE)</f>
        <v>0.05</v>
      </c>
      <c r="Z64" s="5">
        <f t="shared" si="11"/>
        <v>-0.0499</v>
      </c>
      <c r="AA64" s="5">
        <f t="shared" si="12"/>
        <v>0</v>
      </c>
    </row>
    <row r="65">
      <c r="A65" s="4" t="s">
        <v>79</v>
      </c>
      <c r="B65" s="4">
        <v>16.0</v>
      </c>
      <c r="C65" s="4" t="s">
        <v>18</v>
      </c>
      <c r="D65" s="5">
        <f>VLOOKUP(A65,KenPom!63:1062,4,FALSE)</f>
        <v>0.3</v>
      </c>
      <c r="E65" s="5">
        <f>VLOOKUP(A65,Yahoo!63:1062,4,FALSE)</f>
        <v>1.49</v>
      </c>
      <c r="F65" s="5">
        <f t="shared" si="1"/>
        <v>-1.19</v>
      </c>
      <c r="G65" s="5">
        <f t="shared" si="2"/>
        <v>0</v>
      </c>
      <c r="H65" s="5">
        <f>VLOOKUP(A65,KenPom!63:1062,5,FALSE)</f>
        <v>0.02</v>
      </c>
      <c r="I65" s="5">
        <f>VLOOKUP(A65,Yahoo!63:1062,5,FALSE)</f>
        <v>0.69</v>
      </c>
      <c r="J65" s="5">
        <f t="shared" si="3"/>
        <v>-0.67</v>
      </c>
      <c r="K65" s="5">
        <f t="shared" si="4"/>
        <v>0</v>
      </c>
      <c r="L65" s="5">
        <f>VLOOKUP(A65,KenPom!63:1062,6,FALSE)</f>
        <v>0.0002</v>
      </c>
      <c r="M65" s="5">
        <f>VLOOKUP(A65,Yahoo!63:1062,6,FALSE)</f>
        <v>0.36</v>
      </c>
      <c r="N65" s="5">
        <f t="shared" si="5"/>
        <v>-0.3598</v>
      </c>
      <c r="O65" s="5">
        <f t="shared" si="6"/>
        <v>0</v>
      </c>
      <c r="P65" s="5">
        <f>VLOOKUP(A65,KenPom!63:1062,7,FALSE)</f>
        <v>0.0001</v>
      </c>
      <c r="Q65" s="5">
        <f>VLOOKUP(A65,Yahoo!63:1062,7,FALSE)</f>
        <v>0.2</v>
      </c>
      <c r="R65" s="5">
        <f t="shared" si="7"/>
        <v>-0.1999</v>
      </c>
      <c r="S65" s="5">
        <f t="shared" si="8"/>
        <v>0</v>
      </c>
      <c r="T65" s="5">
        <f>VLOOKUP(A65,KenPom!63:1062,8,FALSE)</f>
        <v>0.0001</v>
      </c>
      <c r="U65" s="5">
        <f>VLOOKUP(A65,Yahoo!63:1062,8,FALSE)</f>
        <v>0.09</v>
      </c>
      <c r="V65" s="5">
        <f t="shared" si="9"/>
        <v>-0.0899</v>
      </c>
      <c r="W65" s="5">
        <f t="shared" si="10"/>
        <v>0</v>
      </c>
      <c r="X65" s="5">
        <f>VLOOKUP(A65,KenPom!63:1062,9,FALSE)</f>
        <v>0.0001</v>
      </c>
      <c r="Y65" s="5">
        <f>VLOOKUP(A65,Yahoo!63:1062,9,FALSE)</f>
        <v>0.04</v>
      </c>
      <c r="Z65" s="5">
        <f t="shared" si="11"/>
        <v>-0.0399</v>
      </c>
      <c r="AA65" s="5">
        <f t="shared" si="12"/>
        <v>0</v>
      </c>
    </row>
    <row r="66">
      <c r="A66" s="4" t="s">
        <v>80</v>
      </c>
      <c r="B66" s="4">
        <v>16.0</v>
      </c>
      <c r="C66" s="4" t="s">
        <v>20</v>
      </c>
      <c r="D66" s="5">
        <f>VLOOKUP(A66,KenPom!64:1063,4,FALSE)</f>
        <v>0.09</v>
      </c>
      <c r="E66" s="5">
        <f>VLOOKUP(A66,Yahoo!64:1063,4,FALSE)</f>
        <v>1.38</v>
      </c>
      <c r="F66" s="5">
        <f t="shared" si="1"/>
        <v>-1.29</v>
      </c>
      <c r="G66" s="5">
        <f t="shared" si="2"/>
        <v>0</v>
      </c>
      <c r="H66" s="5">
        <f>VLOOKUP(A66,KenPom!64:1063,5,FALSE)</f>
        <v>0.004</v>
      </c>
      <c r="I66" s="5">
        <f>VLOOKUP(A66,Yahoo!64:1063,5,FALSE)</f>
        <v>0.61</v>
      </c>
      <c r="J66" s="5">
        <f t="shared" si="3"/>
        <v>-0.606</v>
      </c>
      <c r="K66" s="5">
        <f t="shared" si="4"/>
        <v>0</v>
      </c>
      <c r="L66" s="5">
        <f>VLOOKUP(A66,KenPom!64:1063,6,FALSE)</f>
        <v>0.0001</v>
      </c>
      <c r="M66" s="5">
        <f>VLOOKUP(A66,Yahoo!64:1063,6,FALSE)</f>
        <v>0.33</v>
      </c>
      <c r="N66" s="5">
        <f t="shared" si="5"/>
        <v>-0.3299</v>
      </c>
      <c r="O66" s="5">
        <f t="shared" si="6"/>
        <v>0</v>
      </c>
      <c r="P66" s="5">
        <f>VLOOKUP(A66,KenPom!64:1063,7,FALSE)</f>
        <v>0.0001</v>
      </c>
      <c r="Q66" s="5">
        <f>VLOOKUP(A66,Yahoo!64:1063,7,FALSE)</f>
        <v>0.19</v>
      </c>
      <c r="R66" s="5">
        <f t="shared" si="7"/>
        <v>-0.1899</v>
      </c>
      <c r="S66" s="5">
        <f t="shared" si="8"/>
        <v>0</v>
      </c>
      <c r="T66" s="5">
        <f>VLOOKUP(A66,KenPom!64:1063,8,FALSE)</f>
        <v>0.0001</v>
      </c>
      <c r="U66" s="5">
        <f>VLOOKUP(A66,Yahoo!64:1063,8,FALSE)</f>
        <v>0.08</v>
      </c>
      <c r="V66" s="5">
        <f t="shared" si="9"/>
        <v>-0.0799</v>
      </c>
      <c r="W66" s="5">
        <f t="shared" si="10"/>
        <v>0</v>
      </c>
      <c r="X66" s="5">
        <f>VLOOKUP(A66,KenPom!64:1063,9,FALSE)</f>
        <v>0.0001</v>
      </c>
      <c r="Y66" s="5">
        <f>VLOOKUP(A66,Yahoo!64:1063,9,FALSE)</f>
        <v>0.03</v>
      </c>
      <c r="Z66" s="5">
        <f t="shared" si="11"/>
        <v>-0.0299</v>
      </c>
      <c r="AA66" s="5">
        <f t="shared" si="12"/>
        <v>0</v>
      </c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conditionalFormatting sqref="C1:C1000">
    <cfRule type="cellIs" dxfId="0" priority="1" operator="equal">
      <formula>"East"</formula>
    </cfRule>
  </conditionalFormatting>
  <conditionalFormatting sqref="C1:C1000">
    <cfRule type="cellIs" dxfId="1" priority="2" operator="equal">
      <formula>"West"</formula>
    </cfRule>
  </conditionalFormatting>
  <conditionalFormatting sqref="C1:C1000">
    <cfRule type="cellIs" dxfId="2" priority="3" operator="equal">
      <formula>"Midwest"</formula>
    </cfRule>
  </conditionalFormatting>
  <conditionalFormatting sqref="C1:C1000">
    <cfRule type="cellIs" dxfId="3" priority="4" operator="equal">
      <formula>"South"</formula>
    </cfRule>
  </conditionalFormatting>
  <conditionalFormatting sqref="G1:G1000">
    <cfRule type="colorScale" priority="5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K1:K1000">
    <cfRule type="colorScale" priority="6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O1:O1000">
    <cfRule type="colorScale" priority="7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S1:S1000">
    <cfRule type="colorScale" priority="8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W1:W1000">
    <cfRule type="colorScale" priority="9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AA1:AA1000">
    <cfRule type="colorScale" priority="10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6" t="s">
        <v>81</v>
      </c>
      <c r="B1" s="7" t="s">
        <v>82</v>
      </c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" t="s">
        <v>6</v>
      </c>
      <c r="B2" s="3" t="s">
        <v>7</v>
      </c>
      <c r="C2" s="3" t="s">
        <v>8</v>
      </c>
      <c r="D2" s="10" t="s">
        <v>83</v>
      </c>
      <c r="E2" s="10" t="s">
        <v>1</v>
      </c>
      <c r="F2" s="10" t="s">
        <v>2</v>
      </c>
      <c r="G2" s="10" t="s">
        <v>3</v>
      </c>
      <c r="H2" s="10" t="s">
        <v>84</v>
      </c>
      <c r="I2" s="10" t="s">
        <v>85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4" t="s">
        <v>13</v>
      </c>
      <c r="B3" s="4">
        <v>1.0</v>
      </c>
      <c r="C3" s="4" t="s">
        <v>14</v>
      </c>
      <c r="D3" s="12">
        <v>99.1</v>
      </c>
      <c r="E3" s="12">
        <v>85.3</v>
      </c>
      <c r="F3" s="12">
        <v>69.0</v>
      </c>
      <c r="G3" s="12">
        <v>52.7</v>
      </c>
      <c r="H3" s="12">
        <v>33.3</v>
      </c>
      <c r="I3" s="12">
        <v>21.0</v>
      </c>
    </row>
    <row r="4">
      <c r="A4" s="4" t="s">
        <v>15</v>
      </c>
      <c r="B4" s="4">
        <v>1.0</v>
      </c>
      <c r="C4" s="4" t="s">
        <v>16</v>
      </c>
      <c r="D4" s="12">
        <v>99.6</v>
      </c>
      <c r="E4" s="12">
        <v>85.7</v>
      </c>
      <c r="F4" s="12">
        <v>68.8</v>
      </c>
      <c r="G4" s="12">
        <v>49.7</v>
      </c>
      <c r="H4" s="12">
        <v>32.1</v>
      </c>
      <c r="I4" s="12">
        <v>18.5</v>
      </c>
    </row>
    <row r="5">
      <c r="A5" s="4" t="s">
        <v>17</v>
      </c>
      <c r="B5" s="4">
        <v>1.0</v>
      </c>
      <c r="C5" s="4" t="s">
        <v>18</v>
      </c>
      <c r="D5" s="12">
        <v>99.5</v>
      </c>
      <c r="E5" s="12">
        <v>88.2</v>
      </c>
      <c r="F5" s="12">
        <v>70.9</v>
      </c>
      <c r="G5" s="12">
        <v>50.2</v>
      </c>
      <c r="H5" s="12">
        <v>30.4</v>
      </c>
      <c r="I5" s="12">
        <v>18.4</v>
      </c>
    </row>
    <row r="6">
      <c r="A6" s="4" t="s">
        <v>19</v>
      </c>
      <c r="B6" s="4">
        <v>1.0</v>
      </c>
      <c r="C6" s="4" t="s">
        <v>20</v>
      </c>
      <c r="D6" s="12">
        <v>99.8</v>
      </c>
      <c r="E6" s="12">
        <v>77.9</v>
      </c>
      <c r="F6" s="12">
        <v>53.2</v>
      </c>
      <c r="G6" s="12">
        <v>30.1</v>
      </c>
      <c r="H6" s="12">
        <v>15.8</v>
      </c>
      <c r="I6" s="12">
        <v>7.5</v>
      </c>
    </row>
    <row r="7">
      <c r="A7" s="4" t="s">
        <v>21</v>
      </c>
      <c r="B7" s="4">
        <v>2.0</v>
      </c>
      <c r="C7" s="4" t="s">
        <v>14</v>
      </c>
      <c r="D7" s="12">
        <v>95.9</v>
      </c>
      <c r="E7" s="12">
        <v>66.1</v>
      </c>
      <c r="F7" s="12">
        <v>35.5</v>
      </c>
      <c r="G7" s="12">
        <v>13.1</v>
      </c>
      <c r="H7" s="12">
        <v>4.9</v>
      </c>
      <c r="I7" s="12">
        <v>1.9</v>
      </c>
    </row>
    <row r="8">
      <c r="A8" s="4" t="s">
        <v>22</v>
      </c>
      <c r="B8" s="4">
        <v>2.0</v>
      </c>
      <c r="C8" s="4" t="s">
        <v>16</v>
      </c>
      <c r="D8" s="12">
        <v>97.6</v>
      </c>
      <c r="E8" s="12">
        <v>74.9</v>
      </c>
      <c r="F8" s="12">
        <v>46.7</v>
      </c>
      <c r="G8" s="12">
        <v>20.8</v>
      </c>
      <c r="H8" s="12">
        <v>10.3</v>
      </c>
      <c r="I8" s="12">
        <v>4.3</v>
      </c>
    </row>
    <row r="9">
      <c r="A9" s="4" t="s">
        <v>23</v>
      </c>
      <c r="B9" s="4">
        <v>2.0</v>
      </c>
      <c r="C9" s="4" t="s">
        <v>18</v>
      </c>
      <c r="D9" s="12">
        <v>98.4</v>
      </c>
      <c r="E9" s="12">
        <v>75.3</v>
      </c>
      <c r="F9" s="12">
        <v>49.4</v>
      </c>
      <c r="G9" s="12">
        <v>22.9</v>
      </c>
      <c r="H9" s="12">
        <v>11.2</v>
      </c>
      <c r="I9" s="12">
        <v>5.4</v>
      </c>
    </row>
    <row r="10">
      <c r="A10" s="4" t="s">
        <v>24</v>
      </c>
      <c r="B10" s="4">
        <v>2.0</v>
      </c>
      <c r="C10" s="4" t="s">
        <v>20</v>
      </c>
      <c r="D10" s="12">
        <v>96.9</v>
      </c>
      <c r="E10" s="12">
        <v>73.5</v>
      </c>
      <c r="F10" s="12">
        <v>43.6</v>
      </c>
      <c r="G10" s="12">
        <v>25.1</v>
      </c>
      <c r="H10" s="12">
        <v>12.9</v>
      </c>
      <c r="I10" s="12">
        <v>6.1</v>
      </c>
    </row>
    <row r="11">
      <c r="A11" s="4" t="s">
        <v>25</v>
      </c>
      <c r="B11" s="4">
        <v>3.0</v>
      </c>
      <c r="C11" s="4" t="s">
        <v>14</v>
      </c>
      <c r="D11" s="12">
        <v>91.6</v>
      </c>
      <c r="E11" s="12">
        <v>57.5</v>
      </c>
      <c r="F11" s="12">
        <v>32.9</v>
      </c>
      <c r="G11" s="12">
        <v>12.0</v>
      </c>
      <c r="H11" s="12">
        <v>4.6</v>
      </c>
      <c r="I11" s="12">
        <v>1.8</v>
      </c>
    </row>
    <row r="12">
      <c r="A12" s="4" t="s">
        <v>26</v>
      </c>
      <c r="B12" s="4">
        <v>3.0</v>
      </c>
      <c r="C12" s="4" t="s">
        <v>16</v>
      </c>
      <c r="D12" s="12">
        <v>96.3</v>
      </c>
      <c r="E12" s="12">
        <v>63.4</v>
      </c>
      <c r="F12" s="12">
        <v>31.6</v>
      </c>
      <c r="G12" s="12">
        <v>11.7</v>
      </c>
      <c r="H12" s="12">
        <v>4.9</v>
      </c>
      <c r="I12" s="12">
        <v>1.7</v>
      </c>
    </row>
    <row r="13">
      <c r="A13" s="4" t="s">
        <v>27</v>
      </c>
      <c r="B13" s="4">
        <v>3.0</v>
      </c>
      <c r="C13" s="4" t="s">
        <v>18</v>
      </c>
      <c r="D13" s="13">
        <v>93.1</v>
      </c>
      <c r="E13" s="13">
        <v>53.1</v>
      </c>
      <c r="F13" s="13">
        <v>23.2</v>
      </c>
      <c r="G13" s="13">
        <v>7.8</v>
      </c>
      <c r="H13" s="13">
        <v>2.7</v>
      </c>
      <c r="I13" s="13">
        <v>1.0</v>
      </c>
    </row>
    <row r="14">
      <c r="A14" s="4" t="s">
        <v>28</v>
      </c>
      <c r="B14" s="4">
        <v>3.0</v>
      </c>
      <c r="C14" s="4" t="s">
        <v>20</v>
      </c>
      <c r="D14" s="13">
        <v>97.0</v>
      </c>
      <c r="E14" s="13">
        <v>75.5</v>
      </c>
      <c r="F14" s="13">
        <v>40.8</v>
      </c>
      <c r="G14" s="13">
        <v>22.3</v>
      </c>
      <c r="H14" s="13">
        <v>10.7</v>
      </c>
      <c r="I14" s="13">
        <v>4.6</v>
      </c>
    </row>
    <row r="15">
      <c r="A15" s="4" t="s">
        <v>29</v>
      </c>
      <c r="B15" s="4">
        <v>4.0</v>
      </c>
      <c r="C15" s="4" t="s">
        <v>14</v>
      </c>
      <c r="D15" s="13">
        <v>86.6</v>
      </c>
      <c r="E15" s="13">
        <v>45.5</v>
      </c>
      <c r="F15" s="13">
        <v>11.4</v>
      </c>
      <c r="G15" s="13">
        <v>5.2</v>
      </c>
      <c r="H15" s="13">
        <v>1.6</v>
      </c>
      <c r="I15" s="13">
        <v>0.5</v>
      </c>
    </row>
    <row r="16">
      <c r="A16" s="4" t="s">
        <v>30</v>
      </c>
      <c r="B16" s="4">
        <v>4.0</v>
      </c>
      <c r="C16" s="4" t="s">
        <v>16</v>
      </c>
      <c r="D16" s="13">
        <v>90.7</v>
      </c>
      <c r="E16" s="13">
        <v>56.2</v>
      </c>
      <c r="F16" s="13">
        <v>15.9</v>
      </c>
      <c r="G16" s="13">
        <v>7.2</v>
      </c>
      <c r="H16" s="13">
        <v>2.7</v>
      </c>
      <c r="I16" s="13">
        <v>0.8</v>
      </c>
    </row>
    <row r="17">
      <c r="A17" s="4" t="s">
        <v>31</v>
      </c>
      <c r="B17" s="4">
        <v>4.0</v>
      </c>
      <c r="C17" s="4" t="s">
        <v>18</v>
      </c>
      <c r="D17" s="13">
        <v>79.6</v>
      </c>
      <c r="E17" s="13">
        <v>46.5</v>
      </c>
      <c r="F17" s="13">
        <v>12.7</v>
      </c>
      <c r="G17" s="13">
        <v>6.1</v>
      </c>
      <c r="H17" s="13">
        <v>2.1</v>
      </c>
      <c r="I17" s="13">
        <v>0.7</v>
      </c>
    </row>
    <row r="18">
      <c r="A18" s="4" t="s">
        <v>32</v>
      </c>
      <c r="B18" s="4">
        <v>4.0</v>
      </c>
      <c r="C18" s="4" t="s">
        <v>20</v>
      </c>
      <c r="D18" s="13">
        <v>92.7</v>
      </c>
      <c r="E18" s="13">
        <v>48.7</v>
      </c>
      <c r="F18" s="13">
        <v>18.6</v>
      </c>
      <c r="G18" s="13">
        <v>7.2</v>
      </c>
      <c r="H18" s="13">
        <v>2.5</v>
      </c>
      <c r="I18" s="13">
        <v>0.8</v>
      </c>
    </row>
    <row r="19">
      <c r="A19" s="4" t="s">
        <v>33</v>
      </c>
      <c r="B19" s="4">
        <v>5.0</v>
      </c>
      <c r="C19" s="4" t="s">
        <v>14</v>
      </c>
      <c r="D19" s="13">
        <v>79.6</v>
      </c>
      <c r="E19" s="13">
        <v>46.5</v>
      </c>
      <c r="F19" s="13">
        <v>12.7</v>
      </c>
      <c r="G19" s="13">
        <v>6.1</v>
      </c>
      <c r="H19" s="13">
        <v>2.1</v>
      </c>
      <c r="I19" s="13">
        <v>0.7</v>
      </c>
    </row>
    <row r="20">
      <c r="A20" s="4" t="s">
        <v>34</v>
      </c>
      <c r="B20" s="4">
        <v>5.0</v>
      </c>
      <c r="C20" s="4" t="s">
        <v>16</v>
      </c>
      <c r="D20" s="13">
        <v>83.3</v>
      </c>
      <c r="E20" s="13">
        <v>39.3</v>
      </c>
      <c r="F20" s="13">
        <v>9.2</v>
      </c>
      <c r="G20" s="13">
        <v>3.6</v>
      </c>
      <c r="H20" s="13">
        <v>1.2</v>
      </c>
      <c r="I20" s="13">
        <v>0.3</v>
      </c>
    </row>
    <row r="21">
      <c r="A21" s="4" t="s">
        <v>35</v>
      </c>
      <c r="B21" s="4">
        <v>5.0</v>
      </c>
      <c r="C21" s="4" t="s">
        <v>18</v>
      </c>
      <c r="D21" s="13">
        <v>78.2</v>
      </c>
      <c r="E21" s="13">
        <v>42.0</v>
      </c>
      <c r="F21" s="13">
        <v>11.2</v>
      </c>
      <c r="G21" s="13">
        <v>4.7</v>
      </c>
      <c r="H21" s="13">
        <v>1.6</v>
      </c>
      <c r="I21" s="13">
        <v>0.5</v>
      </c>
    </row>
    <row r="22">
      <c r="A22" s="4" t="s">
        <v>36</v>
      </c>
      <c r="B22" s="4">
        <v>5.0</v>
      </c>
      <c r="C22" s="4" t="s">
        <v>20</v>
      </c>
      <c r="D22" s="13">
        <v>82.3</v>
      </c>
      <c r="E22" s="13">
        <v>46.3</v>
      </c>
      <c r="F22" s="13">
        <v>19.0</v>
      </c>
      <c r="G22" s="13">
        <v>8.0</v>
      </c>
      <c r="H22" s="13">
        <v>3.0</v>
      </c>
      <c r="I22" s="13">
        <v>1.0</v>
      </c>
    </row>
    <row r="23">
      <c r="A23" s="4" t="s">
        <v>37</v>
      </c>
      <c r="B23" s="4">
        <v>6.0</v>
      </c>
      <c r="C23" s="4" t="s">
        <v>14</v>
      </c>
      <c r="D23" s="13">
        <v>72.3</v>
      </c>
      <c r="E23" s="13">
        <v>33.9</v>
      </c>
      <c r="F23" s="13">
        <v>17.2</v>
      </c>
      <c r="G23" s="13">
        <v>5.3</v>
      </c>
      <c r="H23" s="13">
        <v>1.7</v>
      </c>
      <c r="I23" s="13">
        <v>0.5</v>
      </c>
    </row>
    <row r="24">
      <c r="A24" s="4" t="s">
        <v>38</v>
      </c>
      <c r="B24" s="4">
        <v>6.0</v>
      </c>
      <c r="C24" s="4" t="s">
        <v>16</v>
      </c>
      <c r="D24" s="13">
        <v>60.0</v>
      </c>
      <c r="E24" s="13">
        <v>23.8</v>
      </c>
      <c r="F24" s="13">
        <v>9.3</v>
      </c>
      <c r="G24" s="13">
        <v>2.5</v>
      </c>
      <c r="H24" s="13">
        <v>0.8</v>
      </c>
      <c r="I24" s="13">
        <v>0.2</v>
      </c>
    </row>
    <row r="25">
      <c r="A25" s="4" t="s">
        <v>39</v>
      </c>
      <c r="B25" s="4">
        <v>6.0</v>
      </c>
      <c r="C25" s="4" t="s">
        <v>18</v>
      </c>
      <c r="D25" s="13">
        <v>73.1</v>
      </c>
      <c r="E25" s="13">
        <v>37.6</v>
      </c>
      <c r="F25" s="13">
        <v>15.8</v>
      </c>
      <c r="G25" s="13">
        <v>5.1</v>
      </c>
      <c r="H25" s="13">
        <v>1.8</v>
      </c>
      <c r="I25" s="13">
        <v>0.6</v>
      </c>
    </row>
    <row r="26">
      <c r="A26" s="4" t="s">
        <v>40</v>
      </c>
      <c r="B26" s="4">
        <v>6.0</v>
      </c>
      <c r="C26" s="4" t="s">
        <v>20</v>
      </c>
      <c r="D26" s="13">
        <v>58.9</v>
      </c>
      <c r="E26" s="13">
        <v>15.7</v>
      </c>
      <c r="F26" s="13">
        <v>4.7</v>
      </c>
      <c r="G26" s="13">
        <v>1.4</v>
      </c>
      <c r="H26" s="13">
        <v>0.4</v>
      </c>
      <c r="I26" s="13">
        <v>0.07</v>
      </c>
    </row>
    <row r="27">
      <c r="A27" s="4" t="s">
        <v>41</v>
      </c>
      <c r="B27" s="4">
        <v>7.0</v>
      </c>
      <c r="C27" s="4" t="s">
        <v>14</v>
      </c>
      <c r="D27" s="13">
        <v>65.8</v>
      </c>
      <c r="E27" s="13">
        <v>25.1</v>
      </c>
      <c r="F27" s="13">
        <v>10.0</v>
      </c>
      <c r="G27" s="13">
        <v>2.5</v>
      </c>
      <c r="H27" s="13">
        <v>0.7</v>
      </c>
      <c r="I27" s="13">
        <v>0.2</v>
      </c>
    </row>
    <row r="28">
      <c r="A28" s="4" t="s">
        <v>42</v>
      </c>
      <c r="B28" s="4">
        <v>7.0</v>
      </c>
      <c r="C28" s="4" t="s">
        <v>16</v>
      </c>
      <c r="D28" s="13">
        <v>62.7</v>
      </c>
      <c r="E28" s="13">
        <v>17.5</v>
      </c>
      <c r="F28" s="13">
        <v>6.6</v>
      </c>
      <c r="G28" s="13">
        <v>1.6</v>
      </c>
      <c r="H28" s="13">
        <v>0.4</v>
      </c>
      <c r="I28" s="13">
        <v>0.08</v>
      </c>
    </row>
    <row r="29">
      <c r="A29" s="4" t="s">
        <v>43</v>
      </c>
      <c r="B29" s="4">
        <v>7.0</v>
      </c>
      <c r="C29" s="4" t="s">
        <v>18</v>
      </c>
      <c r="D29" s="13">
        <v>55.5</v>
      </c>
      <c r="E29" s="13">
        <v>14.6</v>
      </c>
      <c r="F29" s="13">
        <v>6.0</v>
      </c>
      <c r="G29" s="13">
        <v>1.3</v>
      </c>
      <c r="H29" s="13">
        <v>0.3</v>
      </c>
      <c r="I29" s="13">
        <v>0.08</v>
      </c>
    </row>
    <row r="30">
      <c r="A30" s="4" t="s">
        <v>44</v>
      </c>
      <c r="B30" s="4">
        <v>7.0</v>
      </c>
      <c r="C30" s="4" t="s">
        <v>20</v>
      </c>
      <c r="D30" s="13">
        <v>60.4</v>
      </c>
      <c r="E30" s="13">
        <v>17.9</v>
      </c>
      <c r="F30" s="13">
        <v>6.6</v>
      </c>
      <c r="G30" s="13">
        <v>2.2</v>
      </c>
      <c r="H30" s="13">
        <v>0.7</v>
      </c>
      <c r="I30" s="13">
        <v>0.2</v>
      </c>
    </row>
    <row r="31">
      <c r="A31" s="4" t="s">
        <v>45</v>
      </c>
      <c r="B31" s="4">
        <v>8.0</v>
      </c>
      <c r="C31" s="4" t="s">
        <v>14</v>
      </c>
      <c r="D31" s="13">
        <v>61.0</v>
      </c>
      <c r="E31" s="13">
        <v>10.3</v>
      </c>
      <c r="F31" s="13">
        <v>4.7</v>
      </c>
      <c r="G31" s="13">
        <v>1.9</v>
      </c>
      <c r="H31" s="13">
        <v>0.5</v>
      </c>
      <c r="I31" s="13">
        <v>0.1</v>
      </c>
    </row>
    <row r="32">
      <c r="A32" s="4" t="s">
        <v>46</v>
      </c>
      <c r="B32" s="4">
        <v>8.0</v>
      </c>
      <c r="C32" s="4" t="s">
        <v>16</v>
      </c>
      <c r="D32" s="13">
        <v>47.7</v>
      </c>
      <c r="E32" s="13">
        <v>6.8</v>
      </c>
      <c r="F32" s="13">
        <v>2.7</v>
      </c>
      <c r="G32" s="13">
        <v>0.8</v>
      </c>
      <c r="H32" s="13">
        <v>0.2</v>
      </c>
      <c r="I32" s="13">
        <v>0.05</v>
      </c>
    </row>
    <row r="33">
      <c r="A33" s="4" t="s">
        <v>47</v>
      </c>
      <c r="B33" s="4">
        <v>8.0</v>
      </c>
      <c r="C33" s="4" t="s">
        <v>18</v>
      </c>
      <c r="D33" s="13">
        <v>56.0</v>
      </c>
      <c r="E33" s="13">
        <v>7.2</v>
      </c>
      <c r="F33" s="13">
        <v>2.9</v>
      </c>
      <c r="G33" s="13">
        <v>0.9</v>
      </c>
      <c r="H33" s="13">
        <v>0.2</v>
      </c>
      <c r="I33" s="13">
        <v>0.03</v>
      </c>
    </row>
    <row r="34">
      <c r="A34" s="4" t="s">
        <v>48</v>
      </c>
      <c r="B34" s="4">
        <v>8.0</v>
      </c>
      <c r="C34" s="4" t="s">
        <v>20</v>
      </c>
      <c r="D34" s="13">
        <v>43.0</v>
      </c>
      <c r="E34" s="13">
        <v>8.1</v>
      </c>
      <c r="F34" s="13">
        <v>2.8</v>
      </c>
      <c r="G34" s="13">
        <v>0.7</v>
      </c>
      <c r="H34" s="13">
        <v>0.2</v>
      </c>
      <c r="I34" s="13">
        <v>0.03</v>
      </c>
    </row>
    <row r="35">
      <c r="A35" s="4" t="s">
        <v>49</v>
      </c>
      <c r="B35" s="4">
        <v>9.0</v>
      </c>
      <c r="C35" s="4" t="s">
        <v>14</v>
      </c>
      <c r="D35" s="13">
        <v>39.0</v>
      </c>
      <c r="E35" s="13">
        <v>4.3</v>
      </c>
      <c r="F35" s="13">
        <v>1.5</v>
      </c>
      <c r="G35" s="13">
        <v>0.5</v>
      </c>
      <c r="H35" s="13">
        <v>0.08</v>
      </c>
      <c r="I35" s="13">
        <v>0.01</v>
      </c>
    </row>
    <row r="36">
      <c r="A36" s="4" t="s">
        <v>50</v>
      </c>
      <c r="B36" s="4">
        <v>9.0</v>
      </c>
      <c r="C36" s="4" t="s">
        <v>16</v>
      </c>
      <c r="D36" s="13">
        <v>52.3</v>
      </c>
      <c r="E36" s="13">
        <v>7.5</v>
      </c>
      <c r="F36" s="13">
        <v>3.1</v>
      </c>
      <c r="G36" s="13">
        <v>1.0</v>
      </c>
      <c r="H36" s="13">
        <v>0.3</v>
      </c>
      <c r="I36" s="13">
        <v>0.06</v>
      </c>
    </row>
    <row r="37">
      <c r="A37" s="4" t="s">
        <v>51</v>
      </c>
      <c r="B37" s="4">
        <v>9.0</v>
      </c>
      <c r="C37" s="4" t="s">
        <v>18</v>
      </c>
      <c r="D37" s="13">
        <v>44.0</v>
      </c>
      <c r="E37" s="13">
        <v>4.5</v>
      </c>
      <c r="F37" s="13">
        <v>1.6</v>
      </c>
      <c r="G37" s="13">
        <v>0.4</v>
      </c>
      <c r="H37" s="13">
        <v>0.09</v>
      </c>
      <c r="I37" s="13">
        <v>0.02</v>
      </c>
    </row>
    <row r="38">
      <c r="A38" s="4" t="s">
        <v>52</v>
      </c>
      <c r="B38" s="4">
        <v>9.0</v>
      </c>
      <c r="C38" s="4" t="s">
        <v>20</v>
      </c>
      <c r="D38" s="13">
        <v>57.0</v>
      </c>
      <c r="E38" s="13">
        <v>14.0</v>
      </c>
      <c r="F38" s="13">
        <v>5.8</v>
      </c>
      <c r="G38" s="13">
        <v>1.8</v>
      </c>
      <c r="H38" s="13">
        <v>0.5</v>
      </c>
      <c r="I38" s="13">
        <v>0.1</v>
      </c>
    </row>
    <row r="39">
      <c r="A39" s="4" t="s">
        <v>53</v>
      </c>
      <c r="B39" s="4">
        <v>10.0</v>
      </c>
      <c r="C39" s="4" t="s">
        <v>14</v>
      </c>
      <c r="D39" s="13">
        <v>34.2</v>
      </c>
      <c r="E39" s="13">
        <v>8.4</v>
      </c>
      <c r="F39" s="13">
        <v>2.1</v>
      </c>
      <c r="G39" s="13">
        <v>0.3</v>
      </c>
      <c r="H39" s="13">
        <v>0.03</v>
      </c>
      <c r="I39" s="13">
        <v>0.001</v>
      </c>
    </row>
    <row r="40">
      <c r="A40" s="4" t="s">
        <v>54</v>
      </c>
      <c r="B40" s="4">
        <v>10.0</v>
      </c>
      <c r="C40" s="4" t="s">
        <v>16</v>
      </c>
      <c r="D40" s="13">
        <v>37.3</v>
      </c>
      <c r="E40" s="13">
        <v>7.3</v>
      </c>
      <c r="F40" s="13">
        <v>1.9</v>
      </c>
      <c r="G40" s="13">
        <v>0.3</v>
      </c>
      <c r="H40" s="13">
        <v>0.05</v>
      </c>
      <c r="I40" s="13">
        <v>0.003</v>
      </c>
    </row>
    <row r="41">
      <c r="A41" s="4" t="s">
        <v>55</v>
      </c>
      <c r="B41" s="4">
        <v>10.0</v>
      </c>
      <c r="C41" s="4" t="s">
        <v>18</v>
      </c>
      <c r="D41" s="13">
        <v>44.5</v>
      </c>
      <c r="E41" s="13">
        <v>10.0</v>
      </c>
      <c r="F41" s="13">
        <v>3.5</v>
      </c>
      <c r="G41" s="13">
        <v>0.7</v>
      </c>
      <c r="H41" s="13">
        <v>0.2</v>
      </c>
      <c r="I41" s="13">
        <v>0.03</v>
      </c>
    </row>
    <row r="42">
      <c r="A42" s="4" t="s">
        <v>56</v>
      </c>
      <c r="B42" s="4">
        <v>10.0</v>
      </c>
      <c r="C42" s="4" t="s">
        <v>20</v>
      </c>
      <c r="D42" s="13">
        <v>39.6</v>
      </c>
      <c r="E42" s="13">
        <v>8.2</v>
      </c>
      <c r="F42" s="13">
        <v>2.3</v>
      </c>
      <c r="G42" s="13">
        <v>0.6</v>
      </c>
      <c r="H42" s="13">
        <v>0.1</v>
      </c>
      <c r="I42" s="13">
        <v>0.02</v>
      </c>
    </row>
    <row r="43">
      <c r="A43" s="4" t="s">
        <v>57</v>
      </c>
      <c r="B43" s="4">
        <v>11.0</v>
      </c>
      <c r="C43" s="4" t="s">
        <v>14</v>
      </c>
      <c r="D43" s="13">
        <v>27.7</v>
      </c>
      <c r="E43" s="13">
        <v>7.4</v>
      </c>
      <c r="F43" s="13">
        <v>2.2</v>
      </c>
      <c r="G43" s="13">
        <v>0.3</v>
      </c>
      <c r="H43" s="13">
        <v>0.05</v>
      </c>
      <c r="I43" s="13">
        <v>0.006</v>
      </c>
    </row>
    <row r="44">
      <c r="A44" s="4" t="s">
        <v>58</v>
      </c>
      <c r="B44" s="4">
        <v>11.0</v>
      </c>
      <c r="C44" s="4" t="s">
        <v>16</v>
      </c>
      <c r="D44" s="12">
        <v>20.0</v>
      </c>
      <c r="E44" s="12">
        <v>6.3</v>
      </c>
      <c r="F44" s="12">
        <v>1.9</v>
      </c>
      <c r="G44" s="12">
        <v>0.4</v>
      </c>
      <c r="H44" s="12">
        <v>0.1</v>
      </c>
      <c r="I44" s="12">
        <v>0.02</v>
      </c>
    </row>
    <row r="45">
      <c r="A45" s="4" t="s">
        <v>59</v>
      </c>
      <c r="B45" s="4">
        <v>11.0</v>
      </c>
      <c r="C45" s="4" t="s">
        <v>18</v>
      </c>
      <c r="D45" s="12">
        <v>23.2</v>
      </c>
      <c r="E45" s="12">
        <v>7.9</v>
      </c>
      <c r="F45" s="12">
        <v>2.0</v>
      </c>
      <c r="G45" s="12">
        <v>0.4</v>
      </c>
      <c r="H45" s="12">
        <v>0.08</v>
      </c>
      <c r="I45" s="12">
        <v>0.01</v>
      </c>
    </row>
    <row r="46">
      <c r="A46" s="4" t="s">
        <v>60</v>
      </c>
      <c r="B46" s="4">
        <v>11.0</v>
      </c>
      <c r="C46" s="4" t="s">
        <v>20</v>
      </c>
      <c r="D46" s="13">
        <v>41.1</v>
      </c>
      <c r="E46" s="13">
        <v>8.4</v>
      </c>
      <c r="F46" s="13">
        <v>1.9</v>
      </c>
      <c r="G46" s="13">
        <v>0.4</v>
      </c>
      <c r="H46" s="13">
        <v>0.09</v>
      </c>
      <c r="I46" s="13">
        <v>0.01</v>
      </c>
    </row>
    <row r="47">
      <c r="A47" s="4" t="s">
        <v>61</v>
      </c>
      <c r="B47" s="4">
        <v>12.0</v>
      </c>
      <c r="C47" s="4" t="s">
        <v>14</v>
      </c>
      <c r="D47" s="13">
        <v>20.4</v>
      </c>
      <c r="E47" s="13">
        <v>5.8</v>
      </c>
      <c r="F47" s="13">
        <v>0.6</v>
      </c>
      <c r="G47" s="13">
        <v>0.1</v>
      </c>
      <c r="H47" s="13">
        <v>0.01</v>
      </c>
      <c r="I47" s="13">
        <v>0.001</v>
      </c>
    </row>
    <row r="48">
      <c r="A48" s="4" t="s">
        <v>62</v>
      </c>
      <c r="B48" s="4">
        <v>12.0</v>
      </c>
      <c r="C48" s="4" t="s">
        <v>16</v>
      </c>
      <c r="D48" s="12">
        <v>16.8</v>
      </c>
      <c r="E48" s="12">
        <v>2.7</v>
      </c>
      <c r="F48" s="12">
        <v>0.2</v>
      </c>
      <c r="G48" s="12">
        <v>0.02</v>
      </c>
      <c r="H48" s="12">
        <v>0.001</v>
      </c>
      <c r="I48" s="12">
        <v>1.0E-4</v>
      </c>
    </row>
    <row r="49">
      <c r="A49" s="4" t="s">
        <v>63</v>
      </c>
      <c r="B49" s="4">
        <v>12.0</v>
      </c>
      <c r="C49" s="4" t="s">
        <v>18</v>
      </c>
      <c r="D49" s="13">
        <v>21.8</v>
      </c>
      <c r="E49" s="13">
        <v>5.4</v>
      </c>
      <c r="F49" s="13">
        <v>0.4</v>
      </c>
      <c r="G49" s="13">
        <v>0.07</v>
      </c>
      <c r="H49" s="13">
        <v>0.009</v>
      </c>
      <c r="I49" s="13">
        <v>0.002</v>
      </c>
    </row>
    <row r="50">
      <c r="A50" s="4" t="s">
        <v>64</v>
      </c>
      <c r="B50" s="4">
        <v>12.0</v>
      </c>
      <c r="C50" s="4" t="s">
        <v>20</v>
      </c>
      <c r="D50" s="13">
        <v>17.7</v>
      </c>
      <c r="E50" s="13">
        <v>4.4</v>
      </c>
      <c r="F50" s="13">
        <v>0.6</v>
      </c>
      <c r="G50" s="13">
        <v>0.08</v>
      </c>
      <c r="H50" s="13">
        <v>0.01</v>
      </c>
      <c r="I50" s="13">
        <v>0.002</v>
      </c>
    </row>
    <row r="51">
      <c r="A51" s="4" t="s">
        <v>65</v>
      </c>
      <c r="B51" s="4">
        <v>13.0</v>
      </c>
      <c r="C51" s="4" t="s">
        <v>14</v>
      </c>
      <c r="D51" s="12">
        <v>13.3</v>
      </c>
      <c r="E51" s="12">
        <v>2.2</v>
      </c>
      <c r="F51" s="12">
        <v>0.1</v>
      </c>
      <c r="G51" s="12">
        <v>0.01</v>
      </c>
      <c r="H51" s="12">
        <v>0.001</v>
      </c>
      <c r="I51" s="12">
        <v>1.0E-4</v>
      </c>
    </row>
    <row r="52">
      <c r="A52" s="4" t="s">
        <v>66</v>
      </c>
      <c r="B52" s="4">
        <v>13.0</v>
      </c>
      <c r="C52" s="4" t="s">
        <v>16</v>
      </c>
      <c r="D52" s="12">
        <v>9.4</v>
      </c>
      <c r="E52" s="12">
        <v>1.7</v>
      </c>
      <c r="F52" s="12">
        <v>0.07</v>
      </c>
      <c r="G52" s="12">
        <v>0.007</v>
      </c>
      <c r="H52" s="12">
        <v>1.0E-4</v>
      </c>
      <c r="I52" s="12">
        <v>1.0E-4</v>
      </c>
    </row>
    <row r="53">
      <c r="A53" s="4" t="s">
        <v>67</v>
      </c>
      <c r="B53" s="4">
        <v>13.0</v>
      </c>
      <c r="C53" s="4" t="s">
        <v>18</v>
      </c>
      <c r="D53" s="12">
        <v>15.1</v>
      </c>
      <c r="E53" s="12">
        <v>3.5</v>
      </c>
      <c r="F53" s="12">
        <v>0.2</v>
      </c>
      <c r="G53" s="12">
        <v>0.03</v>
      </c>
      <c r="H53" s="12">
        <v>0.004</v>
      </c>
      <c r="I53" s="12">
        <v>5.0E-4</v>
      </c>
    </row>
    <row r="54">
      <c r="A54" s="4" t="s">
        <v>68</v>
      </c>
      <c r="B54" s="4">
        <v>13.0</v>
      </c>
      <c r="C54" s="4" t="s">
        <v>20</v>
      </c>
      <c r="D54" s="12">
        <v>7.5</v>
      </c>
      <c r="E54" s="12">
        <v>0.7</v>
      </c>
      <c r="F54" s="12">
        <v>0.03</v>
      </c>
      <c r="G54" s="12">
        <v>0.001</v>
      </c>
      <c r="H54" s="12">
        <v>1.0E-4</v>
      </c>
      <c r="I54" s="12">
        <v>1.0E-4</v>
      </c>
    </row>
    <row r="55">
      <c r="A55" s="4" t="s">
        <v>69</v>
      </c>
      <c r="B55" s="4">
        <v>14.0</v>
      </c>
      <c r="C55" s="4" t="s">
        <v>14</v>
      </c>
      <c r="D55" s="12">
        <v>8.4</v>
      </c>
      <c r="E55" s="12">
        <v>1.2</v>
      </c>
      <c r="F55" s="12">
        <v>0.2</v>
      </c>
      <c r="G55" s="12">
        <v>0.008</v>
      </c>
      <c r="H55" s="12">
        <v>5.0E-4</v>
      </c>
      <c r="I55" s="12">
        <v>1.0E-4</v>
      </c>
    </row>
    <row r="56">
      <c r="A56" s="4" t="s">
        <v>70</v>
      </c>
      <c r="B56" s="4">
        <v>14.0</v>
      </c>
      <c r="C56" s="4" t="s">
        <v>16</v>
      </c>
      <c r="D56" s="12">
        <v>3.7</v>
      </c>
      <c r="E56" s="12">
        <v>0.3</v>
      </c>
      <c r="F56" s="12">
        <v>0.02</v>
      </c>
      <c r="G56" s="12">
        <v>5.0E-4</v>
      </c>
      <c r="H56" s="12">
        <v>1.0E-4</v>
      </c>
      <c r="I56" s="12">
        <v>1.0E-4</v>
      </c>
    </row>
    <row r="57">
      <c r="A57" s="4" t="s">
        <v>71</v>
      </c>
      <c r="B57" s="4">
        <v>14.0</v>
      </c>
      <c r="C57" s="4" t="s">
        <v>18</v>
      </c>
      <c r="D57" s="12">
        <v>7.0</v>
      </c>
      <c r="E57" s="12">
        <v>0.8</v>
      </c>
      <c r="F57" s="12">
        <v>0.04</v>
      </c>
      <c r="G57" s="12">
        <v>0.002</v>
      </c>
      <c r="H57" s="12">
        <v>1.0E-4</v>
      </c>
      <c r="I57" s="12">
        <v>1.0E-4</v>
      </c>
    </row>
    <row r="58">
      <c r="A58" s="4" t="s">
        <v>72</v>
      </c>
      <c r="B58" s="4">
        <v>14.0</v>
      </c>
      <c r="C58" s="4" t="s">
        <v>20</v>
      </c>
      <c r="D58" s="12">
        <v>3.0</v>
      </c>
      <c r="E58" s="12">
        <v>0.4</v>
      </c>
      <c r="F58" s="12">
        <v>0.02</v>
      </c>
      <c r="G58" s="12">
        <v>7.0E-4</v>
      </c>
      <c r="H58" s="12">
        <v>1.0E-4</v>
      </c>
      <c r="I58" s="12">
        <v>1.0E-4</v>
      </c>
    </row>
    <row r="59">
      <c r="A59" s="4" t="s">
        <v>73</v>
      </c>
      <c r="B59" s="4">
        <v>15.0</v>
      </c>
      <c r="C59" s="4" t="s">
        <v>14</v>
      </c>
      <c r="D59" s="12">
        <v>4.2</v>
      </c>
      <c r="E59" s="12">
        <v>0.5</v>
      </c>
      <c r="F59" s="12">
        <v>0.02</v>
      </c>
      <c r="G59" s="12">
        <v>5.0E-4</v>
      </c>
      <c r="H59" s="12">
        <v>1.0E-4</v>
      </c>
      <c r="I59" s="12">
        <v>1.0E-4</v>
      </c>
    </row>
    <row r="60">
      <c r="A60" s="4" t="s">
        <v>74</v>
      </c>
      <c r="B60" s="4">
        <v>15.0</v>
      </c>
      <c r="C60" s="4" t="s">
        <v>16</v>
      </c>
      <c r="D60" s="12">
        <v>2.4</v>
      </c>
      <c r="E60" s="12">
        <v>0.3</v>
      </c>
      <c r="F60" s="12">
        <v>0.01</v>
      </c>
      <c r="G60" s="12">
        <v>2.0E-4</v>
      </c>
      <c r="H60" s="12">
        <v>1.0E-4</v>
      </c>
      <c r="I60" s="12">
        <v>1.0E-4</v>
      </c>
    </row>
    <row r="61">
      <c r="A61" s="4" t="s">
        <v>75</v>
      </c>
      <c r="B61" s="4">
        <v>15.0</v>
      </c>
      <c r="C61" s="4" t="s">
        <v>18</v>
      </c>
      <c r="D61" s="12">
        <v>1.6</v>
      </c>
      <c r="E61" s="12">
        <v>0.1</v>
      </c>
      <c r="F61" s="12">
        <v>0.005</v>
      </c>
      <c r="G61" s="12">
        <v>1.0E-4</v>
      </c>
      <c r="H61" s="12">
        <v>1.0E-4</v>
      </c>
      <c r="I61" s="12">
        <v>1.0E-4</v>
      </c>
    </row>
    <row r="62">
      <c r="A62" s="4" t="s">
        <v>76</v>
      </c>
      <c r="B62" s="4">
        <v>15.0</v>
      </c>
      <c r="C62" s="4" t="s">
        <v>20</v>
      </c>
      <c r="D62" s="12">
        <v>3.1</v>
      </c>
      <c r="E62" s="12">
        <v>0.4</v>
      </c>
      <c r="F62" s="12">
        <v>0.02</v>
      </c>
      <c r="G62" s="12">
        <v>0.001</v>
      </c>
      <c r="H62" s="12">
        <v>1.0E-4</v>
      </c>
      <c r="I62" s="12">
        <v>1.0E-4</v>
      </c>
    </row>
    <row r="63">
      <c r="A63" s="4" t="s">
        <v>77</v>
      </c>
      <c r="B63" s="4">
        <v>16.0</v>
      </c>
      <c r="C63" s="4" t="s">
        <v>14</v>
      </c>
      <c r="D63" s="12">
        <v>0.9</v>
      </c>
      <c r="E63" s="12">
        <v>0.09</v>
      </c>
      <c r="F63" s="12">
        <v>0.006</v>
      </c>
      <c r="G63" s="12">
        <v>1.0E-4</v>
      </c>
      <c r="H63" s="12">
        <v>1.0E-4</v>
      </c>
      <c r="I63" s="12">
        <v>1.0E-4</v>
      </c>
    </row>
    <row r="64">
      <c r="A64" s="4" t="s">
        <v>78</v>
      </c>
      <c r="B64" s="4">
        <v>16.0</v>
      </c>
      <c r="C64" s="4" t="s">
        <v>16</v>
      </c>
      <c r="D64" s="12">
        <v>0.4</v>
      </c>
      <c r="E64" s="12">
        <v>0.03</v>
      </c>
      <c r="F64" s="12">
        <v>0.001</v>
      </c>
      <c r="G64" s="12">
        <v>1.0E-4</v>
      </c>
      <c r="H64" s="12">
        <v>1.0E-4</v>
      </c>
      <c r="I64" s="12">
        <v>1.0E-4</v>
      </c>
    </row>
    <row r="65">
      <c r="A65" s="4" t="s">
        <v>79</v>
      </c>
      <c r="B65" s="4">
        <v>16.0</v>
      </c>
      <c r="C65" s="4" t="s">
        <v>18</v>
      </c>
      <c r="D65" s="12">
        <v>0.3</v>
      </c>
      <c r="E65" s="12">
        <v>0.02</v>
      </c>
      <c r="F65" s="12">
        <v>2.0E-4</v>
      </c>
      <c r="G65" s="12">
        <v>1.0E-4</v>
      </c>
      <c r="H65" s="12">
        <v>1.0E-4</v>
      </c>
      <c r="I65" s="12">
        <v>1.0E-4</v>
      </c>
    </row>
    <row r="66">
      <c r="A66" s="4" t="s">
        <v>80</v>
      </c>
      <c r="B66" s="4">
        <v>16.0</v>
      </c>
      <c r="C66" s="4" t="s">
        <v>20</v>
      </c>
      <c r="D66" s="12">
        <v>0.09</v>
      </c>
      <c r="E66" s="12">
        <v>0.004</v>
      </c>
      <c r="F66" s="12">
        <v>1.0E-4</v>
      </c>
      <c r="G66" s="12">
        <v>1.0E-4</v>
      </c>
      <c r="H66" s="12">
        <v>1.0E-4</v>
      </c>
      <c r="I66" s="12">
        <v>1.0E-4</v>
      </c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conditionalFormatting sqref="C1:C1000">
    <cfRule type="cellIs" dxfId="0" priority="1" operator="equal">
      <formula>"East"</formula>
    </cfRule>
  </conditionalFormatting>
  <conditionalFormatting sqref="C1:C1000">
    <cfRule type="cellIs" dxfId="1" priority="2" operator="equal">
      <formula>"West"</formula>
    </cfRule>
  </conditionalFormatting>
  <conditionalFormatting sqref="C1:C1000">
    <cfRule type="cellIs" dxfId="2" priority="3" operator="equal">
      <formula>"Midwest"</formula>
    </cfRule>
  </conditionalFormatting>
  <conditionalFormatting sqref="C1:C1000">
    <cfRule type="cellIs" dxfId="3" priority="4" operator="equal">
      <formula>"South"</formula>
    </cfRule>
  </conditionalFormatting>
  <hyperlinks>
    <hyperlink r:id="rId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4" t="s">
        <v>86</v>
      </c>
      <c r="B1" s="15" t="s">
        <v>87</v>
      </c>
      <c r="C1" s="14"/>
    </row>
    <row r="2">
      <c r="A2" s="3" t="s">
        <v>6</v>
      </c>
      <c r="B2" s="3" t="s">
        <v>7</v>
      </c>
      <c r="C2" s="3" t="s">
        <v>8</v>
      </c>
      <c r="D2" s="10" t="s">
        <v>83</v>
      </c>
      <c r="E2" s="10" t="s">
        <v>1</v>
      </c>
      <c r="F2" s="10" t="s">
        <v>2</v>
      </c>
      <c r="G2" s="10" t="s">
        <v>3</v>
      </c>
      <c r="H2" s="10" t="s">
        <v>84</v>
      </c>
      <c r="I2" s="10" t="s">
        <v>85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4" t="s">
        <v>13</v>
      </c>
      <c r="B3" s="4">
        <v>1.0</v>
      </c>
      <c r="C3" s="4" t="s">
        <v>14</v>
      </c>
      <c r="D3" s="13">
        <v>98.21</v>
      </c>
      <c r="E3" s="13">
        <v>93.59</v>
      </c>
      <c r="F3" s="13">
        <v>78.77</v>
      </c>
      <c r="G3" s="13">
        <v>64.67</v>
      </c>
      <c r="H3" s="13">
        <v>49.51</v>
      </c>
      <c r="I3" s="13">
        <v>30.24</v>
      </c>
    </row>
    <row r="4">
      <c r="A4" s="4" t="s">
        <v>15</v>
      </c>
      <c r="B4" s="4">
        <v>1.0</v>
      </c>
      <c r="C4" s="4" t="s">
        <v>16</v>
      </c>
      <c r="D4" s="13">
        <v>94.82</v>
      </c>
      <c r="E4" s="13">
        <v>89.38</v>
      </c>
      <c r="F4" s="13">
        <v>74.48</v>
      </c>
      <c r="G4" s="13">
        <v>56.08</v>
      </c>
      <c r="H4" s="13">
        <v>38.93</v>
      </c>
      <c r="I4" s="13">
        <v>19.37</v>
      </c>
    </row>
    <row r="5">
      <c r="A5" s="4" t="s">
        <v>17</v>
      </c>
      <c r="B5" s="4">
        <v>1.0</v>
      </c>
      <c r="C5" s="4" t="s">
        <v>18</v>
      </c>
      <c r="D5" s="13">
        <v>94.22</v>
      </c>
      <c r="E5" s="13">
        <v>89.6</v>
      </c>
      <c r="F5" s="13">
        <v>77.11</v>
      </c>
      <c r="G5" s="13">
        <v>58.91</v>
      </c>
      <c r="H5" s="13">
        <v>28.46</v>
      </c>
      <c r="I5" s="13">
        <v>14.48</v>
      </c>
    </row>
    <row r="6">
      <c r="A6" s="4" t="s">
        <v>19</v>
      </c>
      <c r="B6" s="4">
        <v>1.0</v>
      </c>
      <c r="C6" s="4" t="s">
        <v>20</v>
      </c>
      <c r="D6" s="13">
        <v>95.36</v>
      </c>
      <c r="E6" s="13">
        <v>88.13</v>
      </c>
      <c r="F6" s="13">
        <v>74.68</v>
      </c>
      <c r="G6" s="13">
        <v>41.77</v>
      </c>
      <c r="H6" s="13">
        <v>13.68</v>
      </c>
      <c r="I6" s="13">
        <v>6.48</v>
      </c>
    </row>
    <row r="7">
      <c r="A7" s="4" t="s">
        <v>21</v>
      </c>
      <c r="B7" s="4">
        <v>2.0</v>
      </c>
      <c r="C7" s="4" t="s">
        <v>14</v>
      </c>
      <c r="D7" s="13">
        <v>96.15</v>
      </c>
      <c r="E7" s="13">
        <v>77.4</v>
      </c>
      <c r="F7" s="13">
        <v>48.29</v>
      </c>
      <c r="G7" s="13">
        <v>13.25</v>
      </c>
      <c r="H7" s="13">
        <v>7.19</v>
      </c>
      <c r="I7" s="13">
        <v>3.61</v>
      </c>
    </row>
    <row r="8">
      <c r="A8" s="4" t="s">
        <v>22</v>
      </c>
      <c r="B8" s="4">
        <v>2.0</v>
      </c>
      <c r="C8" s="4" t="s">
        <v>16</v>
      </c>
      <c r="D8" s="13">
        <v>93.62</v>
      </c>
      <c r="E8" s="13">
        <v>76.5</v>
      </c>
      <c r="F8" s="13">
        <v>47.5</v>
      </c>
      <c r="G8" s="13">
        <v>15.85</v>
      </c>
      <c r="H8" s="13">
        <v>7.47</v>
      </c>
      <c r="I8" s="13">
        <v>3.17</v>
      </c>
    </row>
    <row r="9">
      <c r="A9" s="4" t="s">
        <v>23</v>
      </c>
      <c r="B9" s="4">
        <v>2.0</v>
      </c>
      <c r="C9" s="4" t="s">
        <v>18</v>
      </c>
      <c r="D9" s="13">
        <v>91.25</v>
      </c>
      <c r="E9" s="13">
        <v>69.43</v>
      </c>
      <c r="F9" s="13">
        <v>47.35</v>
      </c>
      <c r="G9" s="13">
        <v>16.41</v>
      </c>
      <c r="H9" s="13">
        <v>5.12</v>
      </c>
      <c r="I9" s="13">
        <v>1.82</v>
      </c>
    </row>
    <row r="10">
      <c r="A10" s="4" t="s">
        <v>24</v>
      </c>
      <c r="B10" s="4">
        <v>2.0</v>
      </c>
      <c r="C10" s="4" t="s">
        <v>20</v>
      </c>
      <c r="D10" s="13">
        <v>93.67</v>
      </c>
      <c r="E10" s="13">
        <v>81.46</v>
      </c>
      <c r="F10" s="13">
        <v>58.94</v>
      </c>
      <c r="G10" s="13">
        <v>34.0</v>
      </c>
      <c r="H10" s="13">
        <v>12.62</v>
      </c>
      <c r="I10" s="13">
        <v>5.2</v>
      </c>
    </row>
    <row r="11">
      <c r="A11" s="4" t="s">
        <v>25</v>
      </c>
      <c r="B11" s="4">
        <v>3.0</v>
      </c>
      <c r="C11" s="4" t="s">
        <v>14</v>
      </c>
      <c r="D11" s="13">
        <v>94.58</v>
      </c>
      <c r="E11" s="13">
        <v>73.1</v>
      </c>
      <c r="F11" s="13">
        <v>34.57</v>
      </c>
      <c r="G11" s="13">
        <v>7.72</v>
      </c>
      <c r="H11" s="13">
        <v>3.36</v>
      </c>
      <c r="I11" s="13">
        <v>1.36</v>
      </c>
    </row>
    <row r="12">
      <c r="A12" s="4" t="s">
        <v>26</v>
      </c>
      <c r="B12" s="4">
        <v>3.0</v>
      </c>
      <c r="C12" s="4" t="s">
        <v>16</v>
      </c>
      <c r="D12" s="13">
        <v>91.65</v>
      </c>
      <c r="E12" s="13">
        <v>64.19</v>
      </c>
      <c r="F12" s="13">
        <v>30.43</v>
      </c>
      <c r="G12" s="13">
        <v>10.08</v>
      </c>
      <c r="H12" s="13">
        <v>4.9</v>
      </c>
      <c r="I12" s="13">
        <v>1.91</v>
      </c>
    </row>
    <row r="13">
      <c r="A13" s="4" t="s">
        <v>27</v>
      </c>
      <c r="B13" s="4">
        <v>3.0</v>
      </c>
      <c r="C13" s="4" t="s">
        <v>18</v>
      </c>
      <c r="D13" s="13">
        <v>90.14</v>
      </c>
      <c r="E13" s="13">
        <v>59.96</v>
      </c>
      <c r="F13" s="13">
        <v>25.79</v>
      </c>
      <c r="G13" s="13">
        <v>7.57</v>
      </c>
      <c r="H13" s="13">
        <v>2.39</v>
      </c>
      <c r="I13" s="13">
        <v>0.77</v>
      </c>
    </row>
    <row r="14">
      <c r="A14" s="4" t="s">
        <v>28</v>
      </c>
      <c r="B14" s="4">
        <v>3.0</v>
      </c>
      <c r="C14" s="4" t="s">
        <v>20</v>
      </c>
      <c r="D14" s="13">
        <v>90.7</v>
      </c>
      <c r="E14" s="13">
        <v>60.96</v>
      </c>
      <c r="F14" s="13">
        <v>20.39</v>
      </c>
      <c r="G14" s="13">
        <v>9.17</v>
      </c>
      <c r="H14" s="13">
        <v>3.05</v>
      </c>
      <c r="I14" s="13">
        <v>1.14</v>
      </c>
    </row>
    <row r="15">
      <c r="A15" s="4" t="s">
        <v>29</v>
      </c>
      <c r="B15" s="4">
        <v>4.0</v>
      </c>
      <c r="C15" s="4" t="s">
        <v>14</v>
      </c>
      <c r="D15" s="13">
        <v>94.16</v>
      </c>
      <c r="E15" s="13">
        <v>43.8</v>
      </c>
      <c r="F15" s="13">
        <v>7.93</v>
      </c>
      <c r="G15" s="13">
        <v>4.29</v>
      </c>
      <c r="H15" s="13">
        <v>2.49</v>
      </c>
      <c r="I15" s="13">
        <v>1.56</v>
      </c>
    </row>
    <row r="16">
      <c r="A16" s="4" t="s">
        <v>30</v>
      </c>
      <c r="B16" s="4">
        <v>4.0</v>
      </c>
      <c r="C16" s="4" t="s">
        <v>16</v>
      </c>
      <c r="D16" s="13">
        <v>88.69</v>
      </c>
      <c r="E16" s="13">
        <v>53.07</v>
      </c>
      <c r="F16" s="13">
        <v>10.86</v>
      </c>
      <c r="G16" s="13">
        <v>6.48</v>
      </c>
      <c r="H16" s="13">
        <v>2.95</v>
      </c>
      <c r="I16" s="13">
        <v>1.21</v>
      </c>
    </row>
    <row r="17">
      <c r="A17" s="4" t="s">
        <v>31</v>
      </c>
      <c r="B17" s="4">
        <v>4.0</v>
      </c>
      <c r="C17" s="4" t="s">
        <v>18</v>
      </c>
      <c r="D17" s="13">
        <v>87.86</v>
      </c>
      <c r="E17" s="13">
        <v>54.95</v>
      </c>
      <c r="F17" s="13">
        <v>10.89</v>
      </c>
      <c r="G17" s="13">
        <v>4.86</v>
      </c>
      <c r="H17" s="13">
        <v>1.52</v>
      </c>
      <c r="I17" s="13">
        <v>0.56</v>
      </c>
    </row>
    <row r="18">
      <c r="A18" s="4" t="s">
        <v>32</v>
      </c>
      <c r="B18" s="4">
        <v>4.0</v>
      </c>
      <c r="C18" s="4" t="s">
        <v>20</v>
      </c>
      <c r="D18" s="13">
        <v>84.73</v>
      </c>
      <c r="E18" s="13">
        <v>36.52</v>
      </c>
      <c r="F18" s="13">
        <v>6.31</v>
      </c>
      <c r="G18" s="13">
        <v>1.92</v>
      </c>
      <c r="H18" s="13">
        <v>0.62</v>
      </c>
      <c r="I18" s="13">
        <v>0.29</v>
      </c>
    </row>
    <row r="19">
      <c r="A19" s="4" t="s">
        <v>33</v>
      </c>
      <c r="B19" s="4">
        <v>5.0</v>
      </c>
      <c r="C19" s="4" t="s">
        <v>14</v>
      </c>
      <c r="D19" s="13">
        <v>87.6</v>
      </c>
      <c r="E19" s="13">
        <v>51.62</v>
      </c>
      <c r="F19" s="13">
        <v>9.06</v>
      </c>
      <c r="G19" s="13">
        <v>5.2</v>
      </c>
      <c r="H19" s="13">
        <v>2.41</v>
      </c>
      <c r="I19" s="13">
        <v>1.15</v>
      </c>
    </row>
    <row r="20">
      <c r="A20" s="4" t="s">
        <v>34</v>
      </c>
      <c r="B20" s="4">
        <v>5.0</v>
      </c>
      <c r="C20" s="4" t="s">
        <v>16</v>
      </c>
      <c r="D20" s="13">
        <v>80.7</v>
      </c>
      <c r="E20" s="13">
        <v>38.02</v>
      </c>
      <c r="F20" s="13">
        <v>6.87</v>
      </c>
      <c r="G20" s="13">
        <v>3.02</v>
      </c>
      <c r="H20" s="13">
        <v>1.52</v>
      </c>
      <c r="I20" s="13">
        <v>0.9</v>
      </c>
    </row>
    <row r="21">
      <c r="A21" s="4" t="s">
        <v>35</v>
      </c>
      <c r="B21" s="4">
        <v>5.0</v>
      </c>
      <c r="C21" s="4" t="s">
        <v>18</v>
      </c>
      <c r="D21" s="13">
        <v>73.24</v>
      </c>
      <c r="E21" s="13">
        <v>33.74</v>
      </c>
      <c r="F21" s="13">
        <v>4.91</v>
      </c>
      <c r="G21" s="13">
        <v>1.84</v>
      </c>
      <c r="H21" s="13">
        <v>0.59</v>
      </c>
      <c r="I21" s="13">
        <v>0.21</v>
      </c>
    </row>
    <row r="22">
      <c r="A22" s="4" t="s">
        <v>36</v>
      </c>
      <c r="B22" s="4">
        <v>5.0</v>
      </c>
      <c r="C22" s="4" t="s">
        <v>20</v>
      </c>
      <c r="D22" s="13">
        <v>80.87</v>
      </c>
      <c r="E22" s="13">
        <v>53.24</v>
      </c>
      <c r="F22" s="13">
        <v>10.57</v>
      </c>
      <c r="G22" s="13">
        <v>2.87</v>
      </c>
      <c r="H22" s="13">
        <v>0.73</v>
      </c>
      <c r="I22" s="13">
        <v>0.26</v>
      </c>
    </row>
    <row r="23">
      <c r="A23" s="4" t="s">
        <v>37</v>
      </c>
      <c r="B23" s="4">
        <v>6.0</v>
      </c>
      <c r="C23" s="4" t="s">
        <v>14</v>
      </c>
      <c r="D23" s="13">
        <v>64.54</v>
      </c>
      <c r="E23" s="13">
        <v>18.24</v>
      </c>
      <c r="F23" s="13">
        <v>7.24</v>
      </c>
      <c r="G23" s="13">
        <v>0.68</v>
      </c>
      <c r="H23" s="13">
        <v>0.25</v>
      </c>
      <c r="I23" s="13">
        <v>0.11</v>
      </c>
    </row>
    <row r="24">
      <c r="A24" s="4" t="s">
        <v>38</v>
      </c>
      <c r="B24" s="4">
        <v>6.0</v>
      </c>
      <c r="C24" s="4" t="s">
        <v>16</v>
      </c>
      <c r="D24" s="13">
        <v>78.9</v>
      </c>
      <c r="E24" s="13">
        <v>27.54</v>
      </c>
      <c r="F24" s="13">
        <v>11.44</v>
      </c>
      <c r="G24" s="13">
        <v>1.71</v>
      </c>
      <c r="H24" s="13">
        <v>0.79</v>
      </c>
      <c r="I24" s="13">
        <v>0.31</v>
      </c>
    </row>
    <row r="25">
      <c r="A25" s="4" t="s">
        <v>39</v>
      </c>
      <c r="B25" s="4">
        <v>6.0</v>
      </c>
      <c r="C25" s="4" t="s">
        <v>18</v>
      </c>
      <c r="D25" s="13">
        <v>82.59</v>
      </c>
      <c r="E25" s="13">
        <v>31.55</v>
      </c>
      <c r="F25" s="13">
        <v>11.99</v>
      </c>
      <c r="G25" s="13">
        <v>1.8</v>
      </c>
      <c r="H25" s="13">
        <v>0.61</v>
      </c>
      <c r="I25" s="13">
        <v>0.24</v>
      </c>
    </row>
    <row r="26">
      <c r="A26" s="4" t="s">
        <v>40</v>
      </c>
      <c r="B26" s="4">
        <v>6.0</v>
      </c>
      <c r="C26" s="4" t="s">
        <v>20</v>
      </c>
      <c r="D26" s="13">
        <v>69.27</v>
      </c>
      <c r="E26" s="13">
        <v>29.2</v>
      </c>
      <c r="F26" s="13">
        <v>12.72</v>
      </c>
      <c r="G26" s="13">
        <v>4.3</v>
      </c>
      <c r="H26" s="13">
        <v>1.04</v>
      </c>
      <c r="I26" s="13">
        <v>0.51</v>
      </c>
    </row>
    <row r="27">
      <c r="A27" s="4" t="s">
        <v>41</v>
      </c>
      <c r="B27" s="4">
        <v>7.0</v>
      </c>
      <c r="C27" s="4" t="s">
        <v>14</v>
      </c>
      <c r="D27" s="13">
        <v>67.25</v>
      </c>
      <c r="E27" s="13">
        <v>17.41</v>
      </c>
      <c r="F27" s="13">
        <v>6.09</v>
      </c>
      <c r="G27" s="13">
        <v>0.95</v>
      </c>
      <c r="H27" s="13">
        <v>0.47</v>
      </c>
      <c r="I27" s="13">
        <v>0.26</v>
      </c>
    </row>
    <row r="28">
      <c r="A28" s="4" t="s">
        <v>42</v>
      </c>
      <c r="B28" s="4">
        <v>7.0</v>
      </c>
      <c r="C28" s="4" t="s">
        <v>16</v>
      </c>
      <c r="D28" s="13">
        <v>60.84</v>
      </c>
      <c r="E28" s="13">
        <v>14.81</v>
      </c>
      <c r="F28" s="13">
        <v>4.75</v>
      </c>
      <c r="G28" s="13">
        <v>1.36</v>
      </c>
      <c r="H28" s="13">
        <v>0.48</v>
      </c>
      <c r="I28" s="13">
        <v>0.21</v>
      </c>
    </row>
    <row r="29">
      <c r="A29" s="4" t="s">
        <v>43</v>
      </c>
      <c r="B29" s="4">
        <v>7.0</v>
      </c>
      <c r="C29" s="4" t="s">
        <v>18</v>
      </c>
      <c r="D29" s="13">
        <v>65.63</v>
      </c>
      <c r="E29" s="13">
        <v>20.83</v>
      </c>
      <c r="F29" s="13">
        <v>8.35</v>
      </c>
      <c r="G29" s="13">
        <v>2.98</v>
      </c>
      <c r="H29" s="13">
        <v>1.62</v>
      </c>
      <c r="I29" s="13">
        <v>0.38</v>
      </c>
    </row>
    <row r="30">
      <c r="A30" s="4" t="s">
        <v>44</v>
      </c>
      <c r="B30" s="4">
        <v>7.0</v>
      </c>
      <c r="C30" s="4" t="s">
        <v>20</v>
      </c>
      <c r="D30" s="13">
        <v>50.99</v>
      </c>
      <c r="E30" s="13">
        <v>8.48</v>
      </c>
      <c r="F30" s="13">
        <v>1.88</v>
      </c>
      <c r="G30" s="13">
        <v>0.6</v>
      </c>
      <c r="H30" s="13">
        <v>0.16</v>
      </c>
      <c r="I30" s="13">
        <v>0.06</v>
      </c>
    </row>
    <row r="31">
      <c r="A31" s="4" t="s">
        <v>45</v>
      </c>
      <c r="B31" s="4">
        <v>8.0</v>
      </c>
      <c r="C31" s="4" t="s">
        <v>14</v>
      </c>
      <c r="D31" s="13">
        <v>59.53</v>
      </c>
      <c r="E31" s="13">
        <v>3.21</v>
      </c>
      <c r="F31" s="13">
        <v>1.72</v>
      </c>
      <c r="G31" s="13">
        <v>1.03</v>
      </c>
      <c r="H31" s="13">
        <v>0.34</v>
      </c>
      <c r="I31" s="13">
        <v>0.2</v>
      </c>
    </row>
    <row r="32">
      <c r="A32" s="4" t="s">
        <v>46</v>
      </c>
      <c r="B32" s="4">
        <v>8.0</v>
      </c>
      <c r="C32" s="4" t="s">
        <v>16</v>
      </c>
      <c r="D32" s="13">
        <v>54.46</v>
      </c>
      <c r="E32" s="13">
        <v>4.78</v>
      </c>
      <c r="F32" s="13">
        <v>2.56</v>
      </c>
      <c r="G32" s="13">
        <v>0.83</v>
      </c>
      <c r="H32" s="13">
        <v>0.4</v>
      </c>
      <c r="I32" s="13">
        <v>0.16</v>
      </c>
    </row>
    <row r="33">
      <c r="A33" s="4" t="s">
        <v>47</v>
      </c>
      <c r="B33" s="4">
        <v>8.0</v>
      </c>
      <c r="C33" s="4" t="s">
        <v>18</v>
      </c>
      <c r="D33" s="13">
        <v>53.77</v>
      </c>
      <c r="E33" s="13">
        <v>3.57</v>
      </c>
      <c r="F33" s="13">
        <v>1.24</v>
      </c>
      <c r="G33" s="13">
        <v>0.55</v>
      </c>
      <c r="H33" s="13">
        <v>0.24</v>
      </c>
      <c r="I33" s="13">
        <v>0.12</v>
      </c>
    </row>
    <row r="34">
      <c r="A34" s="4" t="s">
        <v>48</v>
      </c>
      <c r="B34" s="4">
        <v>8.0</v>
      </c>
      <c r="C34" s="4" t="s">
        <v>20</v>
      </c>
      <c r="D34" s="13">
        <v>46.69</v>
      </c>
      <c r="E34" s="13">
        <v>3.35</v>
      </c>
      <c r="F34" s="13">
        <v>1.58</v>
      </c>
      <c r="G34" s="13">
        <v>0.57</v>
      </c>
      <c r="H34" s="13">
        <v>0.19</v>
      </c>
      <c r="I34" s="13">
        <v>0.09</v>
      </c>
    </row>
    <row r="35">
      <c r="A35" s="4" t="s">
        <v>49</v>
      </c>
      <c r="B35" s="4">
        <v>9.0</v>
      </c>
      <c r="C35" s="4" t="s">
        <v>14</v>
      </c>
      <c r="D35" s="13">
        <v>38.35</v>
      </c>
      <c r="E35" s="13">
        <v>1.59</v>
      </c>
      <c r="F35" s="13">
        <v>0.62</v>
      </c>
      <c r="G35" s="13">
        <v>0.29</v>
      </c>
      <c r="H35" s="13">
        <v>0.12</v>
      </c>
      <c r="I35" s="13">
        <v>0.06</v>
      </c>
    </row>
    <row r="36">
      <c r="A36" s="4" t="s">
        <v>50</v>
      </c>
      <c r="B36" s="4">
        <v>9.0</v>
      </c>
      <c r="C36" s="4" t="s">
        <v>16</v>
      </c>
      <c r="D36" s="13">
        <v>40.59</v>
      </c>
      <c r="E36" s="13">
        <v>1.73</v>
      </c>
      <c r="F36" s="13">
        <v>0.67</v>
      </c>
      <c r="G36" s="13">
        <v>0.26</v>
      </c>
      <c r="H36" s="13">
        <v>0.12</v>
      </c>
      <c r="I36" s="13">
        <v>0.06</v>
      </c>
    </row>
    <row r="37">
      <c r="A37" s="4" t="s">
        <v>51</v>
      </c>
      <c r="B37" s="4">
        <v>9.0</v>
      </c>
      <c r="C37" s="4" t="s">
        <v>18</v>
      </c>
      <c r="D37" s="13">
        <v>40.57</v>
      </c>
      <c r="E37" s="13">
        <v>2.19</v>
      </c>
      <c r="F37" s="13">
        <v>0.98</v>
      </c>
      <c r="G37" s="13">
        <v>0.41</v>
      </c>
      <c r="H37" s="13">
        <v>0.16</v>
      </c>
      <c r="I37" s="13">
        <v>0.08</v>
      </c>
    </row>
    <row r="38">
      <c r="A38" s="4" t="s">
        <v>52</v>
      </c>
      <c r="B38" s="4">
        <v>9.0</v>
      </c>
      <c r="C38" s="4" t="s">
        <v>20</v>
      </c>
      <c r="D38" s="13">
        <v>48.94</v>
      </c>
      <c r="E38" s="13">
        <v>4.86</v>
      </c>
      <c r="F38" s="13">
        <v>2.8</v>
      </c>
      <c r="G38" s="13">
        <v>0.49</v>
      </c>
      <c r="H38" s="13">
        <v>0.18</v>
      </c>
      <c r="I38" s="13">
        <v>0.09</v>
      </c>
    </row>
    <row r="39">
      <c r="A39" s="4" t="s">
        <v>53</v>
      </c>
      <c r="B39" s="4">
        <v>10.0</v>
      </c>
      <c r="C39" s="4" t="s">
        <v>14</v>
      </c>
      <c r="D39" s="13">
        <v>30.52</v>
      </c>
      <c r="E39" s="13">
        <v>2.95</v>
      </c>
      <c r="F39" s="13">
        <v>0.8</v>
      </c>
      <c r="G39" s="13">
        <v>0.21</v>
      </c>
      <c r="H39" s="13">
        <v>0.1</v>
      </c>
      <c r="I39" s="13">
        <v>0.05</v>
      </c>
    </row>
    <row r="40">
      <c r="A40" s="4" t="s">
        <v>54</v>
      </c>
      <c r="B40" s="4">
        <v>10.0</v>
      </c>
      <c r="C40" s="4" t="s">
        <v>16</v>
      </c>
      <c r="D40" s="13">
        <v>34.14</v>
      </c>
      <c r="E40" s="13">
        <v>4.1</v>
      </c>
      <c r="F40" s="13">
        <v>1.1</v>
      </c>
      <c r="G40" s="13">
        <v>0.31</v>
      </c>
      <c r="H40" s="13">
        <v>0.13</v>
      </c>
      <c r="I40" s="13">
        <v>0.07</v>
      </c>
    </row>
    <row r="41">
      <c r="A41" s="4" t="s">
        <v>55</v>
      </c>
      <c r="B41" s="4">
        <v>10.0</v>
      </c>
      <c r="C41" s="4" t="s">
        <v>18</v>
      </c>
      <c r="D41" s="13">
        <v>28.84</v>
      </c>
      <c r="E41" s="13">
        <v>4.02</v>
      </c>
      <c r="F41" s="13">
        <v>1.11</v>
      </c>
      <c r="G41" s="13">
        <v>0.29</v>
      </c>
      <c r="H41" s="13">
        <v>0.1</v>
      </c>
      <c r="I41" s="13">
        <v>0.05</v>
      </c>
    </row>
    <row r="42">
      <c r="A42" s="4" t="s">
        <v>56</v>
      </c>
      <c r="B42" s="4">
        <v>10.0</v>
      </c>
      <c r="C42" s="4" t="s">
        <v>20</v>
      </c>
      <c r="D42" s="13">
        <v>44.54</v>
      </c>
      <c r="E42" s="13">
        <v>6.05</v>
      </c>
      <c r="F42" s="13">
        <v>1.43</v>
      </c>
      <c r="G42" s="13">
        <v>0.51</v>
      </c>
      <c r="H42" s="13">
        <v>0.21</v>
      </c>
      <c r="I42" s="13">
        <v>0.09</v>
      </c>
    </row>
    <row r="43">
      <c r="A43" s="4" t="s">
        <v>57</v>
      </c>
      <c r="B43" s="4">
        <v>11.0</v>
      </c>
      <c r="C43" s="4" t="s">
        <v>14</v>
      </c>
      <c r="D43" s="13">
        <v>32.58</v>
      </c>
      <c r="E43" s="13">
        <v>5.88</v>
      </c>
      <c r="F43" s="13">
        <v>1.16</v>
      </c>
      <c r="G43" s="13">
        <v>0.3</v>
      </c>
      <c r="H43" s="13">
        <v>0.12</v>
      </c>
      <c r="I43" s="13">
        <v>0.06</v>
      </c>
    </row>
    <row r="44">
      <c r="A44" s="4" t="s">
        <v>58</v>
      </c>
      <c r="B44" s="4">
        <v>11.0</v>
      </c>
      <c r="C44" s="4" t="s">
        <v>16</v>
      </c>
      <c r="D44" s="13">
        <v>15.28</v>
      </c>
      <c r="E44" s="13">
        <v>2.71</v>
      </c>
      <c r="F44" s="13">
        <v>0.62</v>
      </c>
      <c r="G44" s="13">
        <v>0.22</v>
      </c>
      <c r="H44" s="13">
        <v>0.1</v>
      </c>
      <c r="I44" s="13">
        <v>0.05</v>
      </c>
    </row>
    <row r="45">
      <c r="A45" s="4" t="s">
        <v>59</v>
      </c>
      <c r="B45" s="4">
        <v>11.0</v>
      </c>
      <c r="C45" s="4" t="s">
        <v>18</v>
      </c>
      <c r="D45" s="13">
        <v>11.77</v>
      </c>
      <c r="E45" s="13">
        <v>2.79</v>
      </c>
      <c r="F45" s="13">
        <v>0.73</v>
      </c>
      <c r="G45" s="13">
        <v>0.25</v>
      </c>
      <c r="H45" s="13">
        <v>0.11</v>
      </c>
      <c r="I45" s="13">
        <v>0.05</v>
      </c>
    </row>
    <row r="46">
      <c r="A46" s="4" t="s">
        <v>60</v>
      </c>
      <c r="B46" s="4">
        <v>11.0</v>
      </c>
      <c r="C46" s="4" t="s">
        <v>20</v>
      </c>
      <c r="D46" s="13">
        <v>26.48</v>
      </c>
      <c r="E46" s="13">
        <v>4.86</v>
      </c>
      <c r="F46" s="13">
        <v>0.8</v>
      </c>
      <c r="G46" s="13">
        <v>0.25</v>
      </c>
      <c r="H46" s="13">
        <v>0.09</v>
      </c>
      <c r="I46" s="13">
        <v>0.03</v>
      </c>
    </row>
    <row r="47">
      <c r="A47" s="4" t="s">
        <v>61</v>
      </c>
      <c r="B47" s="4">
        <v>12.0</v>
      </c>
      <c r="C47" s="4" t="s">
        <v>14</v>
      </c>
      <c r="D47" s="13">
        <v>10.79</v>
      </c>
      <c r="E47" s="13">
        <v>2.14</v>
      </c>
      <c r="F47" s="13">
        <v>0.42</v>
      </c>
      <c r="G47" s="13">
        <v>0.18</v>
      </c>
      <c r="H47" s="13">
        <v>0.08</v>
      </c>
      <c r="I47" s="13">
        <v>0.04</v>
      </c>
    </row>
    <row r="48">
      <c r="A48" s="4" t="s">
        <v>62</v>
      </c>
      <c r="B48" s="4">
        <v>12.0</v>
      </c>
      <c r="C48" s="4" t="s">
        <v>16</v>
      </c>
      <c r="D48" s="13">
        <v>14.74</v>
      </c>
      <c r="E48" s="13">
        <v>3.09</v>
      </c>
      <c r="F48" s="13">
        <v>0.55</v>
      </c>
      <c r="G48" s="13">
        <v>0.24</v>
      </c>
      <c r="H48" s="13">
        <v>0.1</v>
      </c>
      <c r="I48" s="13">
        <v>0.04</v>
      </c>
    </row>
    <row r="49">
      <c r="A49" s="4" t="s">
        <v>63</v>
      </c>
      <c r="B49" s="4">
        <v>12.0</v>
      </c>
      <c r="C49" s="4" t="s">
        <v>18</v>
      </c>
      <c r="D49" s="13">
        <v>21.34</v>
      </c>
      <c r="E49" s="13">
        <v>4.97</v>
      </c>
      <c r="F49" s="13">
        <v>0.52</v>
      </c>
      <c r="G49" s="13">
        <v>0.23</v>
      </c>
      <c r="H49" s="13">
        <v>0.1</v>
      </c>
      <c r="I49" s="13">
        <v>0.05</v>
      </c>
    </row>
    <row r="50">
      <c r="A50" s="4" t="s">
        <v>64</v>
      </c>
      <c r="B50" s="4">
        <v>12.0</v>
      </c>
      <c r="C50" s="4" t="s">
        <v>20</v>
      </c>
      <c r="D50" s="13">
        <v>15.09</v>
      </c>
      <c r="E50" s="13">
        <v>4.94</v>
      </c>
      <c r="F50" s="13">
        <v>0.63</v>
      </c>
      <c r="G50" s="13">
        <v>0.26</v>
      </c>
      <c r="H50" s="13">
        <v>0.1</v>
      </c>
      <c r="I50" s="13">
        <v>0.04</v>
      </c>
    </row>
    <row r="51">
      <c r="A51" s="4" t="s">
        <v>65</v>
      </c>
      <c r="B51" s="4">
        <v>13.0</v>
      </c>
      <c r="C51" s="4" t="s">
        <v>14</v>
      </c>
      <c r="D51" s="13">
        <v>4.35</v>
      </c>
      <c r="E51" s="13">
        <v>1.13</v>
      </c>
      <c r="F51" s="13">
        <v>0.33</v>
      </c>
      <c r="G51" s="13">
        <v>0.14</v>
      </c>
      <c r="H51" s="13">
        <v>0.07</v>
      </c>
      <c r="I51" s="13">
        <v>0.03</v>
      </c>
    </row>
    <row r="52">
      <c r="A52" s="4" t="s">
        <v>66</v>
      </c>
      <c r="B52" s="4">
        <v>13.0</v>
      </c>
      <c r="C52" s="4" t="s">
        <v>16</v>
      </c>
      <c r="D52" s="13">
        <v>6.94</v>
      </c>
      <c r="E52" s="13">
        <v>2.17</v>
      </c>
      <c r="F52" s="13">
        <v>0.55</v>
      </c>
      <c r="G52" s="13">
        <v>0.26</v>
      </c>
      <c r="H52" s="13">
        <v>0.13</v>
      </c>
      <c r="I52" s="13">
        <v>0.06</v>
      </c>
    </row>
    <row r="53">
      <c r="A53" s="4" t="s">
        <v>67</v>
      </c>
      <c r="B53" s="4">
        <v>13.0</v>
      </c>
      <c r="C53" s="4" t="s">
        <v>18</v>
      </c>
      <c r="D53" s="13">
        <v>6.96</v>
      </c>
      <c r="E53" s="13">
        <v>2.06</v>
      </c>
      <c r="F53" s="13">
        <v>0.44</v>
      </c>
      <c r="G53" s="13">
        <v>0.19</v>
      </c>
      <c r="H53" s="13">
        <v>0.09</v>
      </c>
      <c r="I53" s="13">
        <v>0.04</v>
      </c>
    </row>
    <row r="54">
      <c r="A54" s="4" t="s">
        <v>68</v>
      </c>
      <c r="B54" s="4">
        <v>13.0</v>
      </c>
      <c r="C54" s="4" t="s">
        <v>20</v>
      </c>
      <c r="D54" s="13">
        <v>11.23</v>
      </c>
      <c r="E54" s="13">
        <v>2.11</v>
      </c>
      <c r="F54" s="13">
        <v>0.42</v>
      </c>
      <c r="G54" s="13">
        <v>0.18</v>
      </c>
      <c r="H54" s="13">
        <v>0.07</v>
      </c>
      <c r="I54" s="13">
        <v>0.03</v>
      </c>
    </row>
    <row r="55">
      <c r="A55" s="4" t="s">
        <v>69</v>
      </c>
      <c r="B55" s="4">
        <v>14.0</v>
      </c>
      <c r="C55" s="4" t="s">
        <v>14</v>
      </c>
      <c r="D55" s="13">
        <v>3.94</v>
      </c>
      <c r="E55" s="13">
        <v>1.31</v>
      </c>
      <c r="F55" s="13">
        <v>0.37</v>
      </c>
      <c r="G55" s="13">
        <v>0.14</v>
      </c>
      <c r="H55" s="13">
        <v>0.06</v>
      </c>
      <c r="I55" s="13">
        <v>0.03</v>
      </c>
    </row>
    <row r="56">
      <c r="A56" s="4" t="s">
        <v>70</v>
      </c>
      <c r="B56" s="4">
        <v>14.0</v>
      </c>
      <c r="C56" s="4" t="s">
        <v>16</v>
      </c>
      <c r="D56" s="13">
        <v>4.08</v>
      </c>
      <c r="E56" s="13">
        <v>1.53</v>
      </c>
      <c r="F56" s="13">
        <v>0.35</v>
      </c>
      <c r="G56" s="13">
        <v>0.15</v>
      </c>
      <c r="H56" s="13">
        <v>0.07</v>
      </c>
      <c r="I56" s="13">
        <v>0.03</v>
      </c>
    </row>
    <row r="57">
      <c r="A57" s="4" t="s">
        <v>71</v>
      </c>
      <c r="B57" s="4">
        <v>14.0</v>
      </c>
      <c r="C57" s="4" t="s">
        <v>18</v>
      </c>
      <c r="D57" s="13">
        <v>4.78</v>
      </c>
      <c r="E57" s="13">
        <v>1.38</v>
      </c>
      <c r="F57" s="13">
        <v>0.41</v>
      </c>
      <c r="G57" s="13">
        <v>0.16</v>
      </c>
      <c r="H57" s="13">
        <v>0.07</v>
      </c>
      <c r="I57" s="13">
        <v>0.04</v>
      </c>
    </row>
    <row r="58">
      <c r="A58" s="4" t="s">
        <v>72</v>
      </c>
      <c r="B58" s="4">
        <v>14.0</v>
      </c>
      <c r="C58" s="4" t="s">
        <v>20</v>
      </c>
      <c r="D58" s="13">
        <v>5.56</v>
      </c>
      <c r="E58" s="13">
        <v>1.84</v>
      </c>
      <c r="F58" s="13">
        <v>0.74</v>
      </c>
      <c r="G58" s="13">
        <v>0.46</v>
      </c>
      <c r="H58" s="13">
        <v>0.31</v>
      </c>
      <c r="I58" s="13">
        <v>0.2</v>
      </c>
    </row>
    <row r="59">
      <c r="A59" s="4" t="s">
        <v>73</v>
      </c>
      <c r="B59" s="4">
        <v>15.0</v>
      </c>
      <c r="C59" s="4" t="s">
        <v>14</v>
      </c>
      <c r="D59" s="13">
        <v>2.65</v>
      </c>
      <c r="E59" s="13">
        <v>0.92</v>
      </c>
      <c r="F59" s="13">
        <v>0.43</v>
      </c>
      <c r="G59" s="13">
        <v>0.15</v>
      </c>
      <c r="H59" s="13">
        <v>0.07</v>
      </c>
      <c r="I59" s="13">
        <v>0.03</v>
      </c>
    </row>
    <row r="60">
      <c r="A60" s="4" t="s">
        <v>74</v>
      </c>
      <c r="B60" s="4">
        <v>15.0</v>
      </c>
      <c r="C60" s="4" t="s">
        <v>16</v>
      </c>
      <c r="D60" s="13">
        <v>2.42</v>
      </c>
      <c r="E60" s="13">
        <v>0.99</v>
      </c>
      <c r="F60" s="13">
        <v>0.46</v>
      </c>
      <c r="G60" s="13">
        <v>0.18</v>
      </c>
      <c r="H60" s="13">
        <v>0.08</v>
      </c>
      <c r="I60" s="13">
        <v>0.03</v>
      </c>
    </row>
    <row r="61">
      <c r="A61" s="4" t="s">
        <v>75</v>
      </c>
      <c r="B61" s="4">
        <v>15.0</v>
      </c>
      <c r="C61" s="4" t="s">
        <v>18</v>
      </c>
      <c r="D61" s="13">
        <v>4.07</v>
      </c>
      <c r="E61" s="13">
        <v>1.63</v>
      </c>
      <c r="F61" s="13">
        <v>0.54</v>
      </c>
      <c r="G61" s="13">
        <v>0.18</v>
      </c>
      <c r="H61" s="13">
        <v>0.08</v>
      </c>
      <c r="I61" s="13">
        <v>0.03</v>
      </c>
    </row>
    <row r="62">
      <c r="A62" s="4" t="s">
        <v>76</v>
      </c>
      <c r="B62" s="4">
        <v>15.0</v>
      </c>
      <c r="C62" s="4" t="s">
        <v>20</v>
      </c>
      <c r="D62" s="13">
        <v>2.99</v>
      </c>
      <c r="E62" s="13">
        <v>1.02</v>
      </c>
      <c r="F62" s="13">
        <v>0.46</v>
      </c>
      <c r="G62" s="13">
        <v>0.17</v>
      </c>
      <c r="H62" s="13">
        <v>0.07</v>
      </c>
      <c r="I62" s="13">
        <v>0.04</v>
      </c>
    </row>
    <row r="63">
      <c r="A63" s="4" t="s">
        <v>77</v>
      </c>
      <c r="B63" s="4">
        <v>16.0</v>
      </c>
      <c r="C63" s="4" t="s">
        <v>14</v>
      </c>
      <c r="D63" s="13">
        <v>1.34</v>
      </c>
      <c r="E63" s="13">
        <v>0.62</v>
      </c>
      <c r="F63" s="13">
        <v>0.33</v>
      </c>
      <c r="G63" s="13">
        <v>0.2</v>
      </c>
      <c r="H63" s="13">
        <v>0.1</v>
      </c>
      <c r="I63" s="13">
        <v>0.05</v>
      </c>
    </row>
    <row r="64">
      <c r="A64" s="4" t="s">
        <v>78</v>
      </c>
      <c r="B64" s="4">
        <v>16.0</v>
      </c>
      <c r="C64" s="4" t="s">
        <v>16</v>
      </c>
      <c r="D64" s="13">
        <v>1.58</v>
      </c>
      <c r="E64" s="13">
        <v>0.72</v>
      </c>
      <c r="F64" s="13">
        <v>0.39</v>
      </c>
      <c r="G64" s="13">
        <v>0.23</v>
      </c>
      <c r="H64" s="13">
        <v>0.11</v>
      </c>
      <c r="I64" s="13">
        <v>0.05</v>
      </c>
    </row>
    <row r="65">
      <c r="A65" s="4" t="s">
        <v>79</v>
      </c>
      <c r="B65" s="4">
        <v>16.0</v>
      </c>
      <c r="C65" s="4" t="s">
        <v>18</v>
      </c>
      <c r="D65" s="13">
        <v>1.49</v>
      </c>
      <c r="E65" s="13">
        <v>0.69</v>
      </c>
      <c r="F65" s="13">
        <v>0.36</v>
      </c>
      <c r="G65" s="13">
        <v>0.2</v>
      </c>
      <c r="H65" s="13">
        <v>0.09</v>
      </c>
      <c r="I65" s="13">
        <v>0.04</v>
      </c>
    </row>
    <row r="66">
      <c r="A66" s="4" t="s">
        <v>80</v>
      </c>
      <c r="B66" s="4">
        <v>16.0</v>
      </c>
      <c r="C66" s="4" t="s">
        <v>20</v>
      </c>
      <c r="D66" s="13">
        <v>1.38</v>
      </c>
      <c r="E66" s="13">
        <v>0.61</v>
      </c>
      <c r="F66" s="13">
        <v>0.33</v>
      </c>
      <c r="G66" s="13">
        <v>0.19</v>
      </c>
      <c r="H66" s="13">
        <v>0.08</v>
      </c>
      <c r="I66" s="13">
        <v>0.03</v>
      </c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conditionalFormatting sqref="C1:C1000">
    <cfRule type="cellIs" dxfId="0" priority="1" operator="equal">
      <formula>"East"</formula>
    </cfRule>
  </conditionalFormatting>
  <conditionalFormatting sqref="C1:C1000">
    <cfRule type="cellIs" dxfId="1" priority="2" operator="equal">
      <formula>"West"</formula>
    </cfRule>
  </conditionalFormatting>
  <conditionalFormatting sqref="C1:C1000">
    <cfRule type="cellIs" dxfId="2" priority="3" operator="equal">
      <formula>"Midwest"</formula>
    </cfRule>
  </conditionalFormatting>
  <conditionalFormatting sqref="C1:C1000">
    <cfRule type="cellIs" dxfId="3" priority="4" operator="equal">
      <formula>"South"</formula>
    </cfRule>
  </conditionalFormatting>
  <hyperlinks>
    <hyperlink r:id="rId1" ref="B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25"/>
  </cols>
  <sheetData>
    <row r="1">
      <c r="A1" s="17" t="s">
        <v>6</v>
      </c>
      <c r="B1" s="17" t="s">
        <v>7</v>
      </c>
      <c r="C1" s="17" t="s">
        <v>8</v>
      </c>
      <c r="D1" s="17" t="s">
        <v>88</v>
      </c>
      <c r="E1" s="17" t="s">
        <v>89</v>
      </c>
      <c r="F1" s="17" t="s">
        <v>90</v>
      </c>
      <c r="G1" s="17" t="s">
        <v>11</v>
      </c>
      <c r="H1" s="17" t="s">
        <v>12</v>
      </c>
    </row>
    <row r="2">
      <c r="A2" s="18" t="s">
        <v>13</v>
      </c>
      <c r="B2" s="13">
        <v>1.0</v>
      </c>
      <c r="C2" s="13" t="s">
        <v>14</v>
      </c>
      <c r="D2" s="13" t="s">
        <v>0</v>
      </c>
      <c r="E2" s="13">
        <v>99.1</v>
      </c>
      <c r="F2" s="13">
        <v>98.21</v>
      </c>
      <c r="G2" s="13">
        <v>0.89</v>
      </c>
      <c r="H2" s="13">
        <v>0.88</v>
      </c>
    </row>
    <row r="3">
      <c r="A3" s="18" t="s">
        <v>13</v>
      </c>
      <c r="B3" s="13">
        <v>1.0</v>
      </c>
      <c r="C3" s="13" t="s">
        <v>14</v>
      </c>
      <c r="D3" s="13" t="s">
        <v>1</v>
      </c>
      <c r="E3" s="13">
        <v>85.3</v>
      </c>
      <c r="F3" s="13">
        <v>93.59</v>
      </c>
      <c r="G3" s="13">
        <v>-8.29</v>
      </c>
      <c r="H3" s="13">
        <v>-7.07</v>
      </c>
    </row>
    <row r="4">
      <c r="A4" s="18" t="s">
        <v>13</v>
      </c>
      <c r="B4" s="13">
        <v>1.0</v>
      </c>
      <c r="C4" s="13" t="s">
        <v>14</v>
      </c>
      <c r="D4" s="13" t="s">
        <v>2</v>
      </c>
      <c r="E4" s="13">
        <v>69.0</v>
      </c>
      <c r="F4" s="13">
        <v>78.77</v>
      </c>
      <c r="G4" s="13">
        <v>-9.77</v>
      </c>
      <c r="H4" s="13">
        <v>-6.74</v>
      </c>
    </row>
    <row r="5">
      <c r="A5" s="18" t="s">
        <v>13</v>
      </c>
      <c r="B5" s="13">
        <v>1.0</v>
      </c>
      <c r="C5" s="13" t="s">
        <v>14</v>
      </c>
      <c r="D5" s="13" t="s">
        <v>3</v>
      </c>
      <c r="E5" s="13">
        <v>52.7</v>
      </c>
      <c r="F5" s="13">
        <v>64.67</v>
      </c>
      <c r="G5" s="13">
        <v>-11.97</v>
      </c>
      <c r="H5" s="13">
        <v>-6.31</v>
      </c>
    </row>
    <row r="6">
      <c r="A6" s="18" t="s">
        <v>13</v>
      </c>
      <c r="B6" s="13">
        <v>1.0</v>
      </c>
      <c r="C6" s="13" t="s">
        <v>14</v>
      </c>
      <c r="D6" s="13" t="s">
        <v>4</v>
      </c>
      <c r="E6" s="13">
        <v>33.3</v>
      </c>
      <c r="F6" s="13">
        <v>49.51</v>
      </c>
      <c r="G6" s="13">
        <v>-16.21</v>
      </c>
      <c r="H6" s="13">
        <v>-5.4</v>
      </c>
    </row>
    <row r="7">
      <c r="A7" s="18" t="s">
        <v>13</v>
      </c>
      <c r="B7" s="13">
        <v>1.0</v>
      </c>
      <c r="C7" s="13" t="s">
        <v>14</v>
      </c>
      <c r="D7" s="13" t="s">
        <v>5</v>
      </c>
      <c r="E7" s="13">
        <v>21.0</v>
      </c>
      <c r="F7" s="13">
        <v>30.24</v>
      </c>
      <c r="G7" s="13">
        <v>-9.24</v>
      </c>
      <c r="H7" s="13">
        <v>-1.94</v>
      </c>
    </row>
    <row r="8">
      <c r="A8" s="18" t="s">
        <v>15</v>
      </c>
      <c r="B8" s="13">
        <v>1.0</v>
      </c>
      <c r="C8" s="13" t="s">
        <v>16</v>
      </c>
      <c r="D8" s="13" t="s">
        <v>0</v>
      </c>
      <c r="E8" s="13">
        <v>99.6</v>
      </c>
      <c r="F8" s="13">
        <v>94.82</v>
      </c>
      <c r="G8" s="13">
        <v>4.78</v>
      </c>
      <c r="H8" s="13">
        <v>4.76</v>
      </c>
    </row>
    <row r="9">
      <c r="A9" s="18" t="s">
        <v>15</v>
      </c>
      <c r="B9" s="13">
        <v>1.0</v>
      </c>
      <c r="C9" s="13" t="s">
        <v>16</v>
      </c>
      <c r="D9" s="13" t="s">
        <v>1</v>
      </c>
      <c r="E9" s="13">
        <v>85.7</v>
      </c>
      <c r="F9" s="13">
        <v>89.38</v>
      </c>
      <c r="G9" s="13">
        <v>-3.68</v>
      </c>
      <c r="H9" s="13">
        <v>-3.15</v>
      </c>
    </row>
    <row r="10">
      <c r="A10" s="18" t="s">
        <v>15</v>
      </c>
      <c r="B10" s="13">
        <v>1.0</v>
      </c>
      <c r="C10" s="13" t="s">
        <v>16</v>
      </c>
      <c r="D10" s="13" t="s">
        <v>2</v>
      </c>
      <c r="E10" s="13">
        <v>68.8</v>
      </c>
      <c r="F10" s="13">
        <v>74.48</v>
      </c>
      <c r="G10" s="13">
        <v>-5.68</v>
      </c>
      <c r="H10" s="13">
        <v>-3.91</v>
      </c>
    </row>
    <row r="11">
      <c r="A11" s="18" t="s">
        <v>15</v>
      </c>
      <c r="B11" s="13">
        <v>1.0</v>
      </c>
      <c r="C11" s="13" t="s">
        <v>16</v>
      </c>
      <c r="D11" s="13" t="s">
        <v>3</v>
      </c>
      <c r="E11" s="13">
        <v>49.7</v>
      </c>
      <c r="F11" s="13">
        <v>56.08</v>
      </c>
      <c r="G11" s="13">
        <v>-6.38</v>
      </c>
      <c r="H11" s="13">
        <v>-3.17</v>
      </c>
    </row>
    <row r="12">
      <c r="A12" s="18" t="s">
        <v>15</v>
      </c>
      <c r="B12" s="13">
        <v>1.0</v>
      </c>
      <c r="C12" s="13" t="s">
        <v>16</v>
      </c>
      <c r="D12" s="13" t="s">
        <v>4</v>
      </c>
      <c r="E12" s="13">
        <v>32.1</v>
      </c>
      <c r="F12" s="13">
        <v>38.93</v>
      </c>
      <c r="G12" s="13">
        <v>-6.83</v>
      </c>
      <c r="H12" s="13">
        <v>-2.19</v>
      </c>
    </row>
    <row r="13">
      <c r="A13" s="18" t="s">
        <v>15</v>
      </c>
      <c r="B13" s="13">
        <v>1.0</v>
      </c>
      <c r="C13" s="13" t="s">
        <v>16</v>
      </c>
      <c r="D13" s="13" t="s">
        <v>5</v>
      </c>
      <c r="E13" s="13">
        <v>18.5</v>
      </c>
      <c r="F13" s="13">
        <v>19.37</v>
      </c>
      <c r="G13" s="13">
        <v>-0.87</v>
      </c>
      <c r="H13" s="13">
        <v>-0.16</v>
      </c>
    </row>
    <row r="14">
      <c r="A14" s="18" t="s">
        <v>17</v>
      </c>
      <c r="B14" s="13">
        <v>1.0</v>
      </c>
      <c r="C14" s="13" t="s">
        <v>18</v>
      </c>
      <c r="D14" s="13" t="s">
        <v>0</v>
      </c>
      <c r="E14" s="13">
        <v>99.5</v>
      </c>
      <c r="F14" s="13">
        <v>94.22</v>
      </c>
      <c r="G14" s="13">
        <v>5.28</v>
      </c>
      <c r="H14" s="13">
        <v>5.25</v>
      </c>
    </row>
    <row r="15">
      <c r="A15" s="18" t="s">
        <v>17</v>
      </c>
      <c r="B15" s="13">
        <v>1.0</v>
      </c>
      <c r="C15" s="13" t="s">
        <v>18</v>
      </c>
      <c r="D15" s="13" t="s">
        <v>1</v>
      </c>
      <c r="E15" s="13">
        <v>88.2</v>
      </c>
      <c r="F15" s="13">
        <v>89.6</v>
      </c>
      <c r="G15" s="13">
        <v>-1.4</v>
      </c>
      <c r="H15" s="13">
        <v>-1.23</v>
      </c>
    </row>
    <row r="16">
      <c r="A16" s="18" t="s">
        <v>17</v>
      </c>
      <c r="B16" s="13">
        <v>1.0</v>
      </c>
      <c r="C16" s="13" t="s">
        <v>18</v>
      </c>
      <c r="D16" s="13" t="s">
        <v>2</v>
      </c>
      <c r="E16" s="13">
        <v>70.9</v>
      </c>
      <c r="F16" s="13">
        <v>77.11</v>
      </c>
      <c r="G16" s="13">
        <v>-6.21</v>
      </c>
      <c r="H16" s="13">
        <v>-4.4</v>
      </c>
    </row>
    <row r="17">
      <c r="A17" s="18" t="s">
        <v>17</v>
      </c>
      <c r="B17" s="13">
        <v>1.0</v>
      </c>
      <c r="C17" s="13" t="s">
        <v>18</v>
      </c>
      <c r="D17" s="13" t="s">
        <v>3</v>
      </c>
      <c r="E17" s="13">
        <v>50.2</v>
      </c>
      <c r="F17" s="13">
        <v>58.91</v>
      </c>
      <c r="G17" s="13">
        <v>-8.71</v>
      </c>
      <c r="H17" s="13">
        <v>-4.37</v>
      </c>
    </row>
    <row r="18">
      <c r="A18" s="18" t="s">
        <v>17</v>
      </c>
      <c r="B18" s="13">
        <v>1.0</v>
      </c>
      <c r="C18" s="13" t="s">
        <v>18</v>
      </c>
      <c r="D18" s="13" t="s">
        <v>4</v>
      </c>
      <c r="E18" s="13">
        <v>30.4</v>
      </c>
      <c r="F18" s="13">
        <v>28.46</v>
      </c>
      <c r="G18" s="13">
        <v>1.94</v>
      </c>
      <c r="H18" s="13">
        <v>0.59</v>
      </c>
    </row>
    <row r="19">
      <c r="A19" s="18" t="s">
        <v>17</v>
      </c>
      <c r="B19" s="13">
        <v>1.0</v>
      </c>
      <c r="C19" s="13" t="s">
        <v>18</v>
      </c>
      <c r="D19" s="13" t="s">
        <v>5</v>
      </c>
      <c r="E19" s="13">
        <v>18.4</v>
      </c>
      <c r="F19" s="13">
        <v>14.48</v>
      </c>
      <c r="G19" s="13">
        <v>3.92</v>
      </c>
      <c r="H19" s="13">
        <v>0.72</v>
      </c>
    </row>
    <row r="20">
      <c r="A20" s="18" t="s">
        <v>19</v>
      </c>
      <c r="B20" s="13">
        <v>1.0</v>
      </c>
      <c r="C20" s="13" t="s">
        <v>20</v>
      </c>
      <c r="D20" s="13" t="s">
        <v>0</v>
      </c>
      <c r="E20" s="13">
        <v>99.8</v>
      </c>
      <c r="F20" s="13">
        <v>95.36</v>
      </c>
      <c r="G20" s="13">
        <v>4.44</v>
      </c>
      <c r="H20" s="13">
        <v>4.43</v>
      </c>
    </row>
    <row r="21">
      <c r="A21" s="18" t="s">
        <v>19</v>
      </c>
      <c r="B21" s="13">
        <v>1.0</v>
      </c>
      <c r="C21" s="13" t="s">
        <v>20</v>
      </c>
      <c r="D21" s="13" t="s">
        <v>1</v>
      </c>
      <c r="E21" s="13">
        <v>77.9</v>
      </c>
      <c r="F21" s="13">
        <v>88.13</v>
      </c>
      <c r="G21" s="13">
        <v>-10.23</v>
      </c>
      <c r="H21" s="13">
        <v>-7.97</v>
      </c>
    </row>
    <row r="22">
      <c r="A22" s="18" t="s">
        <v>19</v>
      </c>
      <c r="B22" s="13">
        <v>1.0</v>
      </c>
      <c r="C22" s="13" t="s">
        <v>20</v>
      </c>
      <c r="D22" s="13" t="s">
        <v>2</v>
      </c>
      <c r="E22" s="13">
        <v>53.2</v>
      </c>
      <c r="F22" s="13">
        <v>74.68</v>
      </c>
      <c r="G22" s="13">
        <v>-21.48</v>
      </c>
      <c r="H22" s="13">
        <v>-11.43</v>
      </c>
    </row>
    <row r="23">
      <c r="A23" s="18" t="s">
        <v>19</v>
      </c>
      <c r="B23" s="13">
        <v>1.0</v>
      </c>
      <c r="C23" s="13" t="s">
        <v>20</v>
      </c>
      <c r="D23" s="13" t="s">
        <v>3</v>
      </c>
      <c r="E23" s="13">
        <v>30.1</v>
      </c>
      <c r="F23" s="13">
        <v>41.77</v>
      </c>
      <c r="G23" s="13">
        <v>-11.67</v>
      </c>
      <c r="H23" s="13">
        <v>-3.51</v>
      </c>
    </row>
    <row r="24">
      <c r="A24" s="18" t="s">
        <v>19</v>
      </c>
      <c r="B24" s="13">
        <v>1.0</v>
      </c>
      <c r="C24" s="13" t="s">
        <v>20</v>
      </c>
      <c r="D24" s="13" t="s">
        <v>4</v>
      </c>
      <c r="E24" s="13">
        <v>15.8</v>
      </c>
      <c r="F24" s="13">
        <v>13.68</v>
      </c>
      <c r="G24" s="13">
        <v>2.12</v>
      </c>
      <c r="H24" s="13">
        <v>0.33</v>
      </c>
    </row>
    <row r="25">
      <c r="A25" s="18" t="s">
        <v>19</v>
      </c>
      <c r="B25" s="13">
        <v>1.0</v>
      </c>
      <c r="C25" s="13" t="s">
        <v>20</v>
      </c>
      <c r="D25" s="13" t="s">
        <v>5</v>
      </c>
      <c r="E25" s="13">
        <v>7.5</v>
      </c>
      <c r="F25" s="13">
        <v>6.48</v>
      </c>
      <c r="G25" s="13">
        <v>1.02</v>
      </c>
      <c r="H25" s="13">
        <v>0.08</v>
      </c>
    </row>
    <row r="26">
      <c r="A26" s="18" t="s">
        <v>21</v>
      </c>
      <c r="B26" s="13">
        <v>2.0</v>
      </c>
      <c r="C26" s="13" t="s">
        <v>14</v>
      </c>
      <c r="D26" s="13" t="s">
        <v>0</v>
      </c>
      <c r="E26" s="13">
        <v>95.9</v>
      </c>
      <c r="F26" s="13">
        <v>96.15</v>
      </c>
      <c r="G26" s="13">
        <v>-0.25</v>
      </c>
      <c r="H26" s="13">
        <v>-0.24</v>
      </c>
    </row>
    <row r="27">
      <c r="A27" s="18" t="s">
        <v>21</v>
      </c>
      <c r="B27" s="13">
        <v>2.0</v>
      </c>
      <c r="C27" s="13" t="s">
        <v>14</v>
      </c>
      <c r="D27" s="13" t="s">
        <v>1</v>
      </c>
      <c r="E27" s="13">
        <v>66.1</v>
      </c>
      <c r="F27" s="13">
        <v>77.4</v>
      </c>
      <c r="G27" s="13">
        <v>-11.3</v>
      </c>
      <c r="H27" s="13">
        <v>-7.47</v>
      </c>
    </row>
    <row r="28">
      <c r="A28" s="18" t="s">
        <v>21</v>
      </c>
      <c r="B28" s="13">
        <v>2.0</v>
      </c>
      <c r="C28" s="13" t="s">
        <v>14</v>
      </c>
      <c r="D28" s="13" t="s">
        <v>2</v>
      </c>
      <c r="E28" s="13">
        <v>35.5</v>
      </c>
      <c r="F28" s="13">
        <v>48.29</v>
      </c>
      <c r="G28" s="13">
        <v>-12.79</v>
      </c>
      <c r="H28" s="13">
        <v>-4.54</v>
      </c>
    </row>
    <row r="29">
      <c r="A29" s="18" t="s">
        <v>21</v>
      </c>
      <c r="B29" s="13">
        <v>2.0</v>
      </c>
      <c r="C29" s="13" t="s">
        <v>14</v>
      </c>
      <c r="D29" s="13" t="s">
        <v>3</v>
      </c>
      <c r="E29" s="13">
        <v>13.1</v>
      </c>
      <c r="F29" s="13">
        <v>13.25</v>
      </c>
      <c r="G29" s="13">
        <v>-0.15</v>
      </c>
      <c r="H29" s="13">
        <v>-0.02</v>
      </c>
    </row>
    <row r="30">
      <c r="A30" s="18" t="s">
        <v>21</v>
      </c>
      <c r="B30" s="13">
        <v>2.0</v>
      </c>
      <c r="C30" s="13" t="s">
        <v>14</v>
      </c>
      <c r="D30" s="13" t="s">
        <v>4</v>
      </c>
      <c r="E30" s="13">
        <v>4.9</v>
      </c>
      <c r="F30" s="13">
        <v>7.19</v>
      </c>
      <c r="G30" s="13">
        <v>-2.29</v>
      </c>
      <c r="H30" s="13">
        <v>-0.11</v>
      </c>
    </row>
    <row r="31">
      <c r="A31" s="18" t="s">
        <v>21</v>
      </c>
      <c r="B31" s="13">
        <v>2.0</v>
      </c>
      <c r="C31" s="13" t="s">
        <v>14</v>
      </c>
      <c r="D31" s="13" t="s">
        <v>5</v>
      </c>
      <c r="E31" s="13">
        <v>1.9</v>
      </c>
      <c r="F31" s="13">
        <v>3.61</v>
      </c>
      <c r="G31" s="13">
        <v>-1.71</v>
      </c>
      <c r="H31" s="13">
        <v>-0.03</v>
      </c>
    </row>
    <row r="32">
      <c r="A32" s="18" t="s">
        <v>22</v>
      </c>
      <c r="B32" s="13">
        <v>2.0</v>
      </c>
      <c r="C32" s="13" t="s">
        <v>16</v>
      </c>
      <c r="D32" s="13" t="s">
        <v>0</v>
      </c>
      <c r="E32" s="13">
        <v>97.6</v>
      </c>
      <c r="F32" s="13">
        <v>93.62</v>
      </c>
      <c r="G32" s="13">
        <v>3.98</v>
      </c>
      <c r="H32" s="13">
        <v>3.88</v>
      </c>
    </row>
    <row r="33">
      <c r="A33" s="18" t="s">
        <v>22</v>
      </c>
      <c r="B33" s="13">
        <v>2.0</v>
      </c>
      <c r="C33" s="13" t="s">
        <v>16</v>
      </c>
      <c r="D33" s="13" t="s">
        <v>1</v>
      </c>
      <c r="E33" s="13">
        <v>74.9</v>
      </c>
      <c r="F33" s="13">
        <v>76.5</v>
      </c>
      <c r="G33" s="13">
        <v>-1.6</v>
      </c>
      <c r="H33" s="13">
        <v>-1.2</v>
      </c>
    </row>
    <row r="34">
      <c r="A34" s="18" t="s">
        <v>22</v>
      </c>
      <c r="B34" s="13">
        <v>2.0</v>
      </c>
      <c r="C34" s="13" t="s">
        <v>16</v>
      </c>
      <c r="D34" s="13" t="s">
        <v>2</v>
      </c>
      <c r="E34" s="13">
        <v>46.7</v>
      </c>
      <c r="F34" s="13">
        <v>47.5</v>
      </c>
      <c r="G34" s="13">
        <v>-0.8</v>
      </c>
      <c r="H34" s="13">
        <v>-0.37</v>
      </c>
    </row>
    <row r="35">
      <c r="A35" s="18" t="s">
        <v>22</v>
      </c>
      <c r="B35" s="13">
        <v>2.0</v>
      </c>
      <c r="C35" s="13" t="s">
        <v>16</v>
      </c>
      <c r="D35" s="13" t="s">
        <v>3</v>
      </c>
      <c r="E35" s="13">
        <v>20.8</v>
      </c>
      <c r="F35" s="13">
        <v>15.85</v>
      </c>
      <c r="G35" s="13">
        <v>4.95</v>
      </c>
      <c r="H35" s="13">
        <v>1.03</v>
      </c>
    </row>
    <row r="36">
      <c r="A36" s="18" t="s">
        <v>22</v>
      </c>
      <c r="B36" s="13">
        <v>2.0</v>
      </c>
      <c r="C36" s="13" t="s">
        <v>16</v>
      </c>
      <c r="D36" s="13" t="s">
        <v>4</v>
      </c>
      <c r="E36" s="13">
        <v>10.3</v>
      </c>
      <c r="F36" s="13">
        <v>7.47</v>
      </c>
      <c r="G36" s="13">
        <v>2.83</v>
      </c>
      <c r="H36" s="13">
        <v>0.29</v>
      </c>
    </row>
    <row r="37">
      <c r="A37" s="18" t="s">
        <v>22</v>
      </c>
      <c r="B37" s="13">
        <v>2.0</v>
      </c>
      <c r="C37" s="13" t="s">
        <v>16</v>
      </c>
      <c r="D37" s="13" t="s">
        <v>5</v>
      </c>
      <c r="E37" s="13">
        <v>4.3</v>
      </c>
      <c r="F37" s="13">
        <v>3.17</v>
      </c>
      <c r="G37" s="13">
        <v>1.13</v>
      </c>
      <c r="H37" s="13">
        <v>0.05</v>
      </c>
    </row>
    <row r="38">
      <c r="A38" s="18" t="s">
        <v>23</v>
      </c>
      <c r="B38" s="13">
        <v>2.0</v>
      </c>
      <c r="C38" s="13" t="s">
        <v>18</v>
      </c>
      <c r="D38" s="13" t="s">
        <v>0</v>
      </c>
      <c r="E38" s="13">
        <v>98.4</v>
      </c>
      <c r="F38" s="13">
        <v>91.25</v>
      </c>
      <c r="G38" s="13">
        <v>7.15</v>
      </c>
      <c r="H38" s="13">
        <v>7.04</v>
      </c>
    </row>
    <row r="39">
      <c r="A39" s="18" t="s">
        <v>23</v>
      </c>
      <c r="B39" s="13">
        <v>2.0</v>
      </c>
      <c r="C39" s="13" t="s">
        <v>18</v>
      </c>
      <c r="D39" s="13" t="s">
        <v>1</v>
      </c>
      <c r="E39" s="13">
        <v>75.3</v>
      </c>
      <c r="F39" s="13">
        <v>69.43</v>
      </c>
      <c r="G39" s="13">
        <v>5.87</v>
      </c>
      <c r="H39" s="13">
        <v>4.42</v>
      </c>
    </row>
    <row r="40">
      <c r="A40" s="18" t="s">
        <v>23</v>
      </c>
      <c r="B40" s="13">
        <v>2.0</v>
      </c>
      <c r="C40" s="13" t="s">
        <v>18</v>
      </c>
      <c r="D40" s="13" t="s">
        <v>2</v>
      </c>
      <c r="E40" s="13">
        <v>49.4</v>
      </c>
      <c r="F40" s="13">
        <v>47.35</v>
      </c>
      <c r="G40" s="13">
        <v>2.05</v>
      </c>
      <c r="H40" s="13">
        <v>1.01</v>
      </c>
    </row>
    <row r="41">
      <c r="A41" s="18" t="s">
        <v>23</v>
      </c>
      <c r="B41" s="13">
        <v>2.0</v>
      </c>
      <c r="C41" s="13" t="s">
        <v>18</v>
      </c>
      <c r="D41" s="13" t="s">
        <v>3</v>
      </c>
      <c r="E41" s="13">
        <v>22.9</v>
      </c>
      <c r="F41" s="13">
        <v>16.41</v>
      </c>
      <c r="G41" s="13">
        <v>6.49</v>
      </c>
      <c r="H41" s="13">
        <v>1.49</v>
      </c>
    </row>
    <row r="42">
      <c r="A42" s="18" t="s">
        <v>23</v>
      </c>
      <c r="B42" s="13">
        <v>2.0</v>
      </c>
      <c r="C42" s="13" t="s">
        <v>18</v>
      </c>
      <c r="D42" s="13" t="s">
        <v>4</v>
      </c>
      <c r="E42" s="13">
        <v>11.2</v>
      </c>
      <c r="F42" s="13">
        <v>5.12</v>
      </c>
      <c r="G42" s="13">
        <v>6.08</v>
      </c>
      <c r="H42" s="13">
        <v>0.68</v>
      </c>
    </row>
    <row r="43">
      <c r="A43" s="18" t="s">
        <v>23</v>
      </c>
      <c r="B43" s="13">
        <v>2.0</v>
      </c>
      <c r="C43" s="13" t="s">
        <v>18</v>
      </c>
      <c r="D43" s="13" t="s">
        <v>5</v>
      </c>
      <c r="E43" s="13">
        <v>5.4</v>
      </c>
      <c r="F43" s="13">
        <v>1.82</v>
      </c>
      <c r="G43" s="13">
        <v>3.58</v>
      </c>
      <c r="H43" s="13">
        <v>0.19</v>
      </c>
    </row>
    <row r="44">
      <c r="A44" s="18" t="s">
        <v>24</v>
      </c>
      <c r="B44" s="13">
        <v>2.0</v>
      </c>
      <c r="C44" s="13" t="s">
        <v>20</v>
      </c>
      <c r="D44" s="13" t="s">
        <v>0</v>
      </c>
      <c r="E44" s="13">
        <v>96.9</v>
      </c>
      <c r="F44" s="13">
        <v>93.67</v>
      </c>
      <c r="G44" s="13">
        <v>3.23</v>
      </c>
      <c r="H44" s="13">
        <v>3.13</v>
      </c>
    </row>
    <row r="45">
      <c r="A45" s="18" t="s">
        <v>24</v>
      </c>
      <c r="B45" s="13">
        <v>2.0</v>
      </c>
      <c r="C45" s="13" t="s">
        <v>20</v>
      </c>
      <c r="D45" s="13" t="s">
        <v>1</v>
      </c>
      <c r="E45" s="13">
        <v>73.5</v>
      </c>
      <c r="F45" s="13">
        <v>81.46</v>
      </c>
      <c r="G45" s="13">
        <v>-7.96</v>
      </c>
      <c r="H45" s="13">
        <v>-5.85</v>
      </c>
    </row>
    <row r="46">
      <c r="A46" s="18" t="s">
        <v>24</v>
      </c>
      <c r="B46" s="13">
        <v>2.0</v>
      </c>
      <c r="C46" s="13" t="s">
        <v>20</v>
      </c>
      <c r="D46" s="13" t="s">
        <v>2</v>
      </c>
      <c r="E46" s="13">
        <v>43.6</v>
      </c>
      <c r="F46" s="13">
        <v>58.94</v>
      </c>
      <c r="G46" s="13">
        <v>-15.34</v>
      </c>
      <c r="H46" s="13">
        <v>-6.69</v>
      </c>
    </row>
    <row r="47">
      <c r="A47" s="18" t="s">
        <v>24</v>
      </c>
      <c r="B47" s="13">
        <v>2.0</v>
      </c>
      <c r="C47" s="13" t="s">
        <v>20</v>
      </c>
      <c r="D47" s="13" t="s">
        <v>3</v>
      </c>
      <c r="E47" s="13">
        <v>25.1</v>
      </c>
      <c r="F47" s="13">
        <v>34.0</v>
      </c>
      <c r="G47" s="13">
        <v>-8.9</v>
      </c>
      <c r="H47" s="13">
        <v>-2.23</v>
      </c>
    </row>
    <row r="48">
      <c r="A48" s="18" t="s">
        <v>24</v>
      </c>
      <c r="B48" s="13">
        <v>2.0</v>
      </c>
      <c r="C48" s="13" t="s">
        <v>20</v>
      </c>
      <c r="D48" s="13" t="s">
        <v>4</v>
      </c>
      <c r="E48" s="13">
        <v>12.9</v>
      </c>
      <c r="F48" s="13">
        <v>12.62</v>
      </c>
      <c r="G48" s="13">
        <v>0.28</v>
      </c>
      <c r="H48" s="13">
        <v>0.04</v>
      </c>
    </row>
    <row r="49">
      <c r="A49" s="18" t="s">
        <v>24</v>
      </c>
      <c r="B49" s="13">
        <v>2.0</v>
      </c>
      <c r="C49" s="13" t="s">
        <v>20</v>
      </c>
      <c r="D49" s="13" t="s">
        <v>5</v>
      </c>
      <c r="E49" s="13">
        <v>6.1</v>
      </c>
      <c r="F49" s="13">
        <v>5.2</v>
      </c>
      <c r="G49" s="13">
        <v>0.9</v>
      </c>
      <c r="H49" s="13">
        <v>0.05</v>
      </c>
    </row>
    <row r="50">
      <c r="A50" s="18" t="s">
        <v>25</v>
      </c>
      <c r="B50" s="13">
        <v>3.0</v>
      </c>
      <c r="C50" s="13" t="s">
        <v>14</v>
      </c>
      <c r="D50" s="13" t="s">
        <v>0</v>
      </c>
      <c r="E50" s="13">
        <v>91.6</v>
      </c>
      <c r="F50" s="13">
        <v>94.58</v>
      </c>
      <c r="G50" s="13">
        <v>-2.98</v>
      </c>
      <c r="H50" s="13">
        <v>-2.73</v>
      </c>
    </row>
    <row r="51">
      <c r="A51" s="18" t="s">
        <v>25</v>
      </c>
      <c r="B51" s="13">
        <v>3.0</v>
      </c>
      <c r="C51" s="13" t="s">
        <v>14</v>
      </c>
      <c r="D51" s="13" t="s">
        <v>1</v>
      </c>
      <c r="E51" s="13">
        <v>57.5</v>
      </c>
      <c r="F51" s="13">
        <v>73.1</v>
      </c>
      <c r="G51" s="13">
        <v>-15.6</v>
      </c>
      <c r="H51" s="13">
        <v>-8.97</v>
      </c>
    </row>
    <row r="52">
      <c r="A52" s="18" t="s">
        <v>25</v>
      </c>
      <c r="B52" s="13">
        <v>3.0</v>
      </c>
      <c r="C52" s="13" t="s">
        <v>14</v>
      </c>
      <c r="D52" s="13" t="s">
        <v>2</v>
      </c>
      <c r="E52" s="13">
        <v>32.9</v>
      </c>
      <c r="F52" s="13">
        <v>34.57</v>
      </c>
      <c r="G52" s="13">
        <v>-1.67</v>
      </c>
      <c r="H52" s="13">
        <v>-0.55</v>
      </c>
    </row>
    <row r="53">
      <c r="A53" s="18" t="s">
        <v>25</v>
      </c>
      <c r="B53" s="13">
        <v>3.0</v>
      </c>
      <c r="C53" s="13" t="s">
        <v>14</v>
      </c>
      <c r="D53" s="13" t="s">
        <v>3</v>
      </c>
      <c r="E53" s="13">
        <v>12.0</v>
      </c>
      <c r="F53" s="13">
        <v>7.72</v>
      </c>
      <c r="G53" s="13">
        <v>4.28</v>
      </c>
      <c r="H53" s="13">
        <v>0.51</v>
      </c>
    </row>
    <row r="54">
      <c r="A54" s="18" t="s">
        <v>25</v>
      </c>
      <c r="B54" s="13">
        <v>3.0</v>
      </c>
      <c r="C54" s="13" t="s">
        <v>14</v>
      </c>
      <c r="D54" s="13" t="s">
        <v>4</v>
      </c>
      <c r="E54" s="13">
        <v>4.6</v>
      </c>
      <c r="F54" s="13">
        <v>3.36</v>
      </c>
      <c r="G54" s="13">
        <v>1.24</v>
      </c>
      <c r="H54" s="13">
        <v>0.06</v>
      </c>
    </row>
    <row r="55">
      <c r="A55" s="18" t="s">
        <v>25</v>
      </c>
      <c r="B55" s="13">
        <v>3.0</v>
      </c>
      <c r="C55" s="13" t="s">
        <v>14</v>
      </c>
      <c r="D55" s="13" t="s">
        <v>5</v>
      </c>
      <c r="E55" s="13">
        <v>1.8</v>
      </c>
      <c r="F55" s="13">
        <v>1.36</v>
      </c>
      <c r="G55" s="13">
        <v>0.44</v>
      </c>
      <c r="H55" s="13">
        <v>0.01</v>
      </c>
    </row>
    <row r="56">
      <c r="A56" s="18" t="s">
        <v>26</v>
      </c>
      <c r="B56" s="13">
        <v>3.0</v>
      </c>
      <c r="C56" s="13" t="s">
        <v>16</v>
      </c>
      <c r="D56" s="13" t="s">
        <v>0</v>
      </c>
      <c r="E56" s="13">
        <v>96.3</v>
      </c>
      <c r="F56" s="13">
        <v>91.65</v>
      </c>
      <c r="G56" s="13">
        <v>4.65</v>
      </c>
      <c r="H56" s="13">
        <v>4.48</v>
      </c>
    </row>
    <row r="57">
      <c r="A57" s="18" t="s">
        <v>26</v>
      </c>
      <c r="B57" s="13">
        <v>3.0</v>
      </c>
      <c r="C57" s="13" t="s">
        <v>16</v>
      </c>
      <c r="D57" s="13" t="s">
        <v>1</v>
      </c>
      <c r="E57" s="13">
        <v>63.4</v>
      </c>
      <c r="F57" s="13">
        <v>64.19</v>
      </c>
      <c r="G57" s="13">
        <v>-0.79</v>
      </c>
      <c r="H57" s="13">
        <v>-0.5</v>
      </c>
    </row>
    <row r="58">
      <c r="A58" s="18" t="s">
        <v>26</v>
      </c>
      <c r="B58" s="13">
        <v>3.0</v>
      </c>
      <c r="C58" s="13" t="s">
        <v>16</v>
      </c>
      <c r="D58" s="13" t="s">
        <v>2</v>
      </c>
      <c r="E58" s="13">
        <v>31.6</v>
      </c>
      <c r="F58" s="13">
        <v>30.43</v>
      </c>
      <c r="G58" s="13">
        <v>1.17</v>
      </c>
      <c r="H58" s="13">
        <v>0.37</v>
      </c>
    </row>
    <row r="59">
      <c r="A59" s="18" t="s">
        <v>26</v>
      </c>
      <c r="B59" s="13">
        <v>3.0</v>
      </c>
      <c r="C59" s="13" t="s">
        <v>16</v>
      </c>
      <c r="D59" s="13" t="s">
        <v>3</v>
      </c>
      <c r="E59" s="13">
        <v>11.7</v>
      </c>
      <c r="F59" s="13">
        <v>10.08</v>
      </c>
      <c r="G59" s="13">
        <v>1.62</v>
      </c>
      <c r="H59" s="13">
        <v>0.19</v>
      </c>
    </row>
    <row r="60">
      <c r="A60" s="18" t="s">
        <v>26</v>
      </c>
      <c r="B60" s="13">
        <v>3.0</v>
      </c>
      <c r="C60" s="13" t="s">
        <v>16</v>
      </c>
      <c r="D60" s="13" t="s">
        <v>4</v>
      </c>
      <c r="E60" s="13">
        <v>4.9</v>
      </c>
      <c r="F60" s="13">
        <v>4.9</v>
      </c>
      <c r="G60" s="13">
        <v>0.0</v>
      </c>
      <c r="H60" s="13">
        <v>0.0</v>
      </c>
    </row>
    <row r="61">
      <c r="A61" s="18" t="s">
        <v>26</v>
      </c>
      <c r="B61" s="13">
        <v>3.0</v>
      </c>
      <c r="C61" s="13" t="s">
        <v>16</v>
      </c>
      <c r="D61" s="13" t="s">
        <v>5</v>
      </c>
      <c r="E61" s="13">
        <v>1.7</v>
      </c>
      <c r="F61" s="13">
        <v>1.91</v>
      </c>
      <c r="G61" s="13">
        <v>-0.21</v>
      </c>
      <c r="H61" s="13">
        <v>0.0</v>
      </c>
    </row>
    <row r="62">
      <c r="A62" s="18" t="s">
        <v>27</v>
      </c>
      <c r="B62" s="13">
        <v>3.0</v>
      </c>
      <c r="C62" s="13" t="s">
        <v>18</v>
      </c>
      <c r="D62" s="13" t="s">
        <v>0</v>
      </c>
      <c r="E62" s="13">
        <v>93.1</v>
      </c>
      <c r="F62" s="13">
        <v>90.14</v>
      </c>
      <c r="G62" s="13">
        <v>2.96</v>
      </c>
      <c r="H62" s="13">
        <v>2.76</v>
      </c>
    </row>
    <row r="63">
      <c r="A63" s="18" t="s">
        <v>27</v>
      </c>
      <c r="B63" s="13">
        <v>3.0</v>
      </c>
      <c r="C63" s="13" t="s">
        <v>18</v>
      </c>
      <c r="D63" s="13" t="s">
        <v>1</v>
      </c>
      <c r="E63" s="13">
        <v>53.1</v>
      </c>
      <c r="F63" s="13">
        <v>59.96</v>
      </c>
      <c r="G63" s="13">
        <v>-6.86</v>
      </c>
      <c r="H63" s="13">
        <v>-3.64</v>
      </c>
    </row>
    <row r="64">
      <c r="A64" s="18" t="s">
        <v>27</v>
      </c>
      <c r="B64" s="13">
        <v>3.0</v>
      </c>
      <c r="C64" s="13" t="s">
        <v>18</v>
      </c>
      <c r="D64" s="13" t="s">
        <v>2</v>
      </c>
      <c r="E64" s="13">
        <v>23.2</v>
      </c>
      <c r="F64" s="13">
        <v>25.79</v>
      </c>
      <c r="G64" s="13">
        <v>-2.59</v>
      </c>
      <c r="H64" s="13">
        <v>-0.6</v>
      </c>
    </row>
    <row r="65">
      <c r="A65" s="18" t="s">
        <v>27</v>
      </c>
      <c r="B65" s="13">
        <v>3.0</v>
      </c>
      <c r="C65" s="13" t="s">
        <v>18</v>
      </c>
      <c r="D65" s="13" t="s">
        <v>3</v>
      </c>
      <c r="E65" s="13">
        <v>7.8</v>
      </c>
      <c r="F65" s="13">
        <v>7.57</v>
      </c>
      <c r="G65" s="13">
        <v>0.23</v>
      </c>
      <c r="H65" s="13">
        <v>0.02</v>
      </c>
    </row>
    <row r="66">
      <c r="A66" s="18" t="s">
        <v>27</v>
      </c>
      <c r="B66" s="13">
        <v>3.0</v>
      </c>
      <c r="C66" s="13" t="s">
        <v>18</v>
      </c>
      <c r="D66" s="13" t="s">
        <v>4</v>
      </c>
      <c r="E66" s="13">
        <v>2.7</v>
      </c>
      <c r="F66" s="13">
        <v>2.39</v>
      </c>
      <c r="G66" s="13">
        <v>0.31</v>
      </c>
      <c r="H66" s="13">
        <v>0.01</v>
      </c>
    </row>
    <row r="67">
      <c r="A67" s="18" t="s">
        <v>27</v>
      </c>
      <c r="B67" s="13">
        <v>3.0</v>
      </c>
      <c r="C67" s="13" t="s">
        <v>18</v>
      </c>
      <c r="D67" s="13" t="s">
        <v>5</v>
      </c>
      <c r="E67" s="13">
        <v>1.0</v>
      </c>
      <c r="F67" s="13">
        <v>0.77</v>
      </c>
      <c r="G67" s="13">
        <v>0.23</v>
      </c>
      <c r="H67" s="13">
        <v>0.0</v>
      </c>
    </row>
    <row r="68">
      <c r="A68" s="18" t="s">
        <v>28</v>
      </c>
      <c r="B68" s="13">
        <v>3.0</v>
      </c>
      <c r="C68" s="13" t="s">
        <v>20</v>
      </c>
      <c r="D68" s="13" t="s">
        <v>0</v>
      </c>
      <c r="E68" s="13">
        <v>97.0</v>
      </c>
      <c r="F68" s="13">
        <v>90.7</v>
      </c>
      <c r="G68" s="13">
        <v>6.3</v>
      </c>
      <c r="H68" s="13">
        <v>6.11</v>
      </c>
    </row>
    <row r="69">
      <c r="A69" s="18" t="s">
        <v>28</v>
      </c>
      <c r="B69" s="13">
        <v>3.0</v>
      </c>
      <c r="C69" s="13" t="s">
        <v>20</v>
      </c>
      <c r="D69" s="13" t="s">
        <v>1</v>
      </c>
      <c r="E69" s="13">
        <v>75.5</v>
      </c>
      <c r="F69" s="13">
        <v>60.96</v>
      </c>
      <c r="G69" s="13">
        <v>14.54</v>
      </c>
      <c r="H69" s="13">
        <v>10.98</v>
      </c>
    </row>
    <row r="70">
      <c r="A70" s="18" t="s">
        <v>28</v>
      </c>
      <c r="B70" s="13">
        <v>3.0</v>
      </c>
      <c r="C70" s="13" t="s">
        <v>20</v>
      </c>
      <c r="D70" s="13" t="s">
        <v>2</v>
      </c>
      <c r="E70" s="13">
        <v>40.8</v>
      </c>
      <c r="F70" s="13">
        <v>20.39</v>
      </c>
      <c r="G70" s="13">
        <v>20.41</v>
      </c>
      <c r="H70" s="13">
        <v>8.33</v>
      </c>
    </row>
    <row r="71">
      <c r="A71" s="18" t="s">
        <v>28</v>
      </c>
      <c r="B71" s="13">
        <v>3.0</v>
      </c>
      <c r="C71" s="13" t="s">
        <v>20</v>
      </c>
      <c r="D71" s="13" t="s">
        <v>3</v>
      </c>
      <c r="E71" s="13">
        <v>22.3</v>
      </c>
      <c r="F71" s="13">
        <v>9.17</v>
      </c>
      <c r="G71" s="13">
        <v>13.13</v>
      </c>
      <c r="H71" s="13">
        <v>2.93</v>
      </c>
    </row>
    <row r="72">
      <c r="A72" s="18" t="s">
        <v>28</v>
      </c>
      <c r="B72" s="13">
        <v>3.0</v>
      </c>
      <c r="C72" s="13" t="s">
        <v>20</v>
      </c>
      <c r="D72" s="13" t="s">
        <v>4</v>
      </c>
      <c r="E72" s="13">
        <v>10.7</v>
      </c>
      <c r="F72" s="13">
        <v>3.05</v>
      </c>
      <c r="G72" s="13">
        <v>7.65</v>
      </c>
      <c r="H72" s="13">
        <v>0.82</v>
      </c>
    </row>
    <row r="73">
      <c r="A73" s="18" t="s">
        <v>28</v>
      </c>
      <c r="B73" s="13">
        <v>3.0</v>
      </c>
      <c r="C73" s="13" t="s">
        <v>20</v>
      </c>
      <c r="D73" s="13" t="s">
        <v>5</v>
      </c>
      <c r="E73" s="13">
        <v>4.6</v>
      </c>
      <c r="F73" s="13">
        <v>1.14</v>
      </c>
      <c r="G73" s="13">
        <v>3.46</v>
      </c>
      <c r="H73" s="13">
        <v>0.16</v>
      </c>
    </row>
    <row r="74">
      <c r="A74" s="18" t="s">
        <v>29</v>
      </c>
      <c r="B74" s="13">
        <v>4.0</v>
      </c>
      <c r="C74" s="13" t="s">
        <v>14</v>
      </c>
      <c r="D74" s="13" t="s">
        <v>0</v>
      </c>
      <c r="E74" s="13">
        <v>86.6</v>
      </c>
      <c r="F74" s="13">
        <v>94.16</v>
      </c>
      <c r="G74" s="13">
        <v>-7.56</v>
      </c>
      <c r="H74" s="13">
        <v>-6.55</v>
      </c>
    </row>
    <row r="75">
      <c r="A75" s="18" t="s">
        <v>29</v>
      </c>
      <c r="B75" s="13">
        <v>4.0</v>
      </c>
      <c r="C75" s="13" t="s">
        <v>14</v>
      </c>
      <c r="D75" s="13" t="s">
        <v>1</v>
      </c>
      <c r="E75" s="13">
        <v>45.5</v>
      </c>
      <c r="F75" s="13">
        <v>43.8</v>
      </c>
      <c r="G75" s="13">
        <v>1.7</v>
      </c>
      <c r="H75" s="13">
        <v>0.77</v>
      </c>
    </row>
    <row r="76">
      <c r="A76" s="18" t="s">
        <v>29</v>
      </c>
      <c r="B76" s="13">
        <v>4.0</v>
      </c>
      <c r="C76" s="13" t="s">
        <v>14</v>
      </c>
      <c r="D76" s="13" t="s">
        <v>2</v>
      </c>
      <c r="E76" s="13">
        <v>11.4</v>
      </c>
      <c r="F76" s="13">
        <v>7.93</v>
      </c>
      <c r="G76" s="13">
        <v>3.47</v>
      </c>
      <c r="H76" s="13">
        <v>0.4</v>
      </c>
    </row>
    <row r="77">
      <c r="A77" s="18" t="s">
        <v>29</v>
      </c>
      <c r="B77" s="13">
        <v>4.0</v>
      </c>
      <c r="C77" s="13" t="s">
        <v>14</v>
      </c>
      <c r="D77" s="13" t="s">
        <v>3</v>
      </c>
      <c r="E77" s="13">
        <v>5.2</v>
      </c>
      <c r="F77" s="13">
        <v>4.29</v>
      </c>
      <c r="G77" s="13">
        <v>0.91</v>
      </c>
      <c r="H77" s="13">
        <v>0.05</v>
      </c>
    </row>
    <row r="78">
      <c r="A78" s="18" t="s">
        <v>29</v>
      </c>
      <c r="B78" s="13">
        <v>4.0</v>
      </c>
      <c r="C78" s="13" t="s">
        <v>14</v>
      </c>
      <c r="D78" s="13" t="s">
        <v>4</v>
      </c>
      <c r="E78" s="13">
        <v>1.6</v>
      </c>
      <c r="F78" s="13">
        <v>2.49</v>
      </c>
      <c r="G78" s="13">
        <v>-0.89</v>
      </c>
      <c r="H78" s="13">
        <v>-0.01</v>
      </c>
    </row>
    <row r="79">
      <c r="A79" s="18" t="s">
        <v>29</v>
      </c>
      <c r="B79" s="13">
        <v>4.0</v>
      </c>
      <c r="C79" s="13" t="s">
        <v>14</v>
      </c>
      <c r="D79" s="13" t="s">
        <v>5</v>
      </c>
      <c r="E79" s="13">
        <v>0.5</v>
      </c>
      <c r="F79" s="13">
        <v>1.56</v>
      </c>
      <c r="G79" s="13">
        <v>-1.06</v>
      </c>
      <c r="H79" s="13">
        <v>-0.01</v>
      </c>
    </row>
    <row r="80">
      <c r="A80" s="18" t="s">
        <v>30</v>
      </c>
      <c r="B80" s="13">
        <v>4.0</v>
      </c>
      <c r="C80" s="13" t="s">
        <v>16</v>
      </c>
      <c r="D80" s="13" t="s">
        <v>0</v>
      </c>
      <c r="E80" s="13">
        <v>90.7</v>
      </c>
      <c r="F80" s="13">
        <v>88.69</v>
      </c>
      <c r="G80" s="13">
        <v>2.01</v>
      </c>
      <c r="H80" s="13">
        <v>1.82</v>
      </c>
    </row>
    <row r="81">
      <c r="A81" s="18" t="s">
        <v>30</v>
      </c>
      <c r="B81" s="13">
        <v>4.0</v>
      </c>
      <c r="C81" s="13" t="s">
        <v>16</v>
      </c>
      <c r="D81" s="13" t="s">
        <v>1</v>
      </c>
      <c r="E81" s="13">
        <v>56.2</v>
      </c>
      <c r="F81" s="13">
        <v>53.07</v>
      </c>
      <c r="G81" s="13">
        <v>3.13</v>
      </c>
      <c r="H81" s="13">
        <v>1.76</v>
      </c>
    </row>
    <row r="82">
      <c r="A82" s="18" t="s">
        <v>30</v>
      </c>
      <c r="B82" s="13">
        <v>4.0</v>
      </c>
      <c r="C82" s="13" t="s">
        <v>16</v>
      </c>
      <c r="D82" s="13" t="s">
        <v>2</v>
      </c>
      <c r="E82" s="13">
        <v>15.9</v>
      </c>
      <c r="F82" s="13">
        <v>10.86</v>
      </c>
      <c r="G82" s="13">
        <v>5.04</v>
      </c>
      <c r="H82" s="13">
        <v>0.8</v>
      </c>
    </row>
    <row r="83">
      <c r="A83" s="18" t="s">
        <v>30</v>
      </c>
      <c r="B83" s="13">
        <v>4.0</v>
      </c>
      <c r="C83" s="13" t="s">
        <v>16</v>
      </c>
      <c r="D83" s="13" t="s">
        <v>3</v>
      </c>
      <c r="E83" s="13">
        <v>7.2</v>
      </c>
      <c r="F83" s="13">
        <v>6.48</v>
      </c>
      <c r="G83" s="13">
        <v>0.72</v>
      </c>
      <c r="H83" s="13">
        <v>0.05</v>
      </c>
    </row>
    <row r="84">
      <c r="A84" s="18" t="s">
        <v>30</v>
      </c>
      <c r="B84" s="13">
        <v>4.0</v>
      </c>
      <c r="C84" s="13" t="s">
        <v>16</v>
      </c>
      <c r="D84" s="13" t="s">
        <v>4</v>
      </c>
      <c r="E84" s="13">
        <v>2.7</v>
      </c>
      <c r="F84" s="13">
        <v>2.95</v>
      </c>
      <c r="G84" s="13">
        <v>-0.25</v>
      </c>
      <c r="H84" s="13">
        <v>-0.01</v>
      </c>
    </row>
    <row r="85">
      <c r="A85" s="18" t="s">
        <v>30</v>
      </c>
      <c r="B85" s="13">
        <v>4.0</v>
      </c>
      <c r="C85" s="13" t="s">
        <v>16</v>
      </c>
      <c r="D85" s="13" t="s">
        <v>5</v>
      </c>
      <c r="E85" s="13">
        <v>0.8</v>
      </c>
      <c r="F85" s="13">
        <v>1.21</v>
      </c>
      <c r="G85" s="13">
        <v>-0.41</v>
      </c>
      <c r="H85" s="13">
        <v>0.0</v>
      </c>
    </row>
    <row r="86">
      <c r="A86" s="18" t="s">
        <v>31</v>
      </c>
      <c r="B86" s="13">
        <v>4.0</v>
      </c>
      <c r="C86" s="13" t="s">
        <v>18</v>
      </c>
      <c r="D86" s="13" t="s">
        <v>0</v>
      </c>
      <c r="E86" s="13">
        <v>79.6</v>
      </c>
      <c r="F86" s="13">
        <v>87.86</v>
      </c>
      <c r="G86" s="13">
        <v>-8.26</v>
      </c>
      <c r="H86" s="13">
        <v>-6.57</v>
      </c>
    </row>
    <row r="87">
      <c r="A87" s="18" t="s">
        <v>31</v>
      </c>
      <c r="B87" s="13">
        <v>4.0</v>
      </c>
      <c r="C87" s="13" t="s">
        <v>18</v>
      </c>
      <c r="D87" s="13" t="s">
        <v>1</v>
      </c>
      <c r="E87" s="13">
        <v>46.5</v>
      </c>
      <c r="F87" s="13">
        <v>54.95</v>
      </c>
      <c r="G87" s="13">
        <v>-8.45</v>
      </c>
      <c r="H87" s="13">
        <v>-3.93</v>
      </c>
    </row>
    <row r="88">
      <c r="A88" s="18" t="s">
        <v>31</v>
      </c>
      <c r="B88" s="13">
        <v>4.0</v>
      </c>
      <c r="C88" s="13" t="s">
        <v>18</v>
      </c>
      <c r="D88" s="13" t="s">
        <v>2</v>
      </c>
      <c r="E88" s="13">
        <v>12.7</v>
      </c>
      <c r="F88" s="13">
        <v>10.89</v>
      </c>
      <c r="G88" s="13">
        <v>1.81</v>
      </c>
      <c r="H88" s="13">
        <v>0.23</v>
      </c>
    </row>
    <row r="89">
      <c r="A89" s="18" t="s">
        <v>31</v>
      </c>
      <c r="B89" s="13">
        <v>4.0</v>
      </c>
      <c r="C89" s="13" t="s">
        <v>18</v>
      </c>
      <c r="D89" s="13" t="s">
        <v>3</v>
      </c>
      <c r="E89" s="13">
        <v>6.1</v>
      </c>
      <c r="F89" s="13">
        <v>4.86</v>
      </c>
      <c r="G89" s="13">
        <v>1.24</v>
      </c>
      <c r="H89" s="13">
        <v>0.08</v>
      </c>
    </row>
    <row r="90">
      <c r="A90" s="18" t="s">
        <v>31</v>
      </c>
      <c r="B90" s="13">
        <v>4.0</v>
      </c>
      <c r="C90" s="13" t="s">
        <v>18</v>
      </c>
      <c r="D90" s="13" t="s">
        <v>4</v>
      </c>
      <c r="E90" s="13">
        <v>2.1</v>
      </c>
      <c r="F90" s="13">
        <v>1.52</v>
      </c>
      <c r="G90" s="13">
        <v>0.58</v>
      </c>
      <c r="H90" s="13">
        <v>0.01</v>
      </c>
    </row>
    <row r="91">
      <c r="A91" s="18" t="s">
        <v>31</v>
      </c>
      <c r="B91" s="13">
        <v>4.0</v>
      </c>
      <c r="C91" s="13" t="s">
        <v>18</v>
      </c>
      <c r="D91" s="13" t="s">
        <v>5</v>
      </c>
      <c r="E91" s="13">
        <v>0.7</v>
      </c>
      <c r="F91" s="13">
        <v>0.56</v>
      </c>
      <c r="G91" s="13">
        <v>0.14</v>
      </c>
      <c r="H91" s="13">
        <v>0.0</v>
      </c>
    </row>
    <row r="92">
      <c r="A92" s="18" t="s">
        <v>32</v>
      </c>
      <c r="B92" s="13">
        <v>4.0</v>
      </c>
      <c r="C92" s="13" t="s">
        <v>20</v>
      </c>
      <c r="D92" s="13" t="s">
        <v>0</v>
      </c>
      <c r="E92" s="13">
        <v>92.7</v>
      </c>
      <c r="F92" s="13">
        <v>84.73</v>
      </c>
      <c r="G92" s="13">
        <v>7.97</v>
      </c>
      <c r="H92" s="13">
        <v>7.39</v>
      </c>
    </row>
    <row r="93">
      <c r="A93" s="18" t="s">
        <v>32</v>
      </c>
      <c r="B93" s="13">
        <v>4.0</v>
      </c>
      <c r="C93" s="13" t="s">
        <v>20</v>
      </c>
      <c r="D93" s="13" t="s">
        <v>1</v>
      </c>
      <c r="E93" s="13">
        <v>48.7</v>
      </c>
      <c r="F93" s="13">
        <v>36.52</v>
      </c>
      <c r="G93" s="13">
        <v>12.18</v>
      </c>
      <c r="H93" s="13">
        <v>5.93</v>
      </c>
    </row>
    <row r="94">
      <c r="A94" s="18" t="s">
        <v>32</v>
      </c>
      <c r="B94" s="13">
        <v>4.0</v>
      </c>
      <c r="C94" s="13" t="s">
        <v>20</v>
      </c>
      <c r="D94" s="13" t="s">
        <v>2</v>
      </c>
      <c r="E94" s="13">
        <v>18.6</v>
      </c>
      <c r="F94" s="13">
        <v>6.31</v>
      </c>
      <c r="G94" s="13">
        <v>12.29</v>
      </c>
      <c r="H94" s="13">
        <v>2.29</v>
      </c>
    </row>
    <row r="95">
      <c r="A95" s="18" t="s">
        <v>32</v>
      </c>
      <c r="B95" s="13">
        <v>4.0</v>
      </c>
      <c r="C95" s="13" t="s">
        <v>20</v>
      </c>
      <c r="D95" s="13" t="s">
        <v>3</v>
      </c>
      <c r="E95" s="13">
        <v>7.2</v>
      </c>
      <c r="F95" s="13">
        <v>1.92</v>
      </c>
      <c r="G95" s="13">
        <v>5.28</v>
      </c>
      <c r="H95" s="13">
        <v>0.38</v>
      </c>
    </row>
    <row r="96">
      <c r="A96" s="18" t="s">
        <v>32</v>
      </c>
      <c r="B96" s="13">
        <v>4.0</v>
      </c>
      <c r="C96" s="13" t="s">
        <v>20</v>
      </c>
      <c r="D96" s="13" t="s">
        <v>4</v>
      </c>
      <c r="E96" s="13">
        <v>2.5</v>
      </c>
      <c r="F96" s="13">
        <v>0.62</v>
      </c>
      <c r="G96" s="13">
        <v>1.88</v>
      </c>
      <c r="H96" s="13">
        <v>0.05</v>
      </c>
    </row>
    <row r="97">
      <c r="A97" s="18" t="s">
        <v>32</v>
      </c>
      <c r="B97" s="13">
        <v>4.0</v>
      </c>
      <c r="C97" s="13" t="s">
        <v>20</v>
      </c>
      <c r="D97" s="13" t="s">
        <v>5</v>
      </c>
      <c r="E97" s="13">
        <v>0.8</v>
      </c>
      <c r="F97" s="13">
        <v>0.29</v>
      </c>
      <c r="G97" s="13">
        <v>0.51</v>
      </c>
      <c r="H97" s="13">
        <v>0.0</v>
      </c>
    </row>
    <row r="98">
      <c r="A98" s="18" t="s">
        <v>33</v>
      </c>
      <c r="B98" s="13">
        <v>5.0</v>
      </c>
      <c r="C98" s="13" t="s">
        <v>14</v>
      </c>
      <c r="D98" s="13" t="s">
        <v>0</v>
      </c>
      <c r="E98" s="13">
        <v>79.6</v>
      </c>
      <c r="F98" s="13">
        <v>87.6</v>
      </c>
      <c r="G98" s="13">
        <v>-8.0</v>
      </c>
      <c r="H98" s="13">
        <v>-6.37</v>
      </c>
    </row>
    <row r="99">
      <c r="A99" s="18" t="s">
        <v>33</v>
      </c>
      <c r="B99" s="13">
        <v>5.0</v>
      </c>
      <c r="C99" s="13" t="s">
        <v>14</v>
      </c>
      <c r="D99" s="13" t="s">
        <v>1</v>
      </c>
      <c r="E99" s="13">
        <v>46.5</v>
      </c>
      <c r="F99" s="13">
        <v>51.62</v>
      </c>
      <c r="G99" s="13">
        <v>-5.12</v>
      </c>
      <c r="H99" s="13">
        <v>-2.38</v>
      </c>
    </row>
    <row r="100">
      <c r="A100" s="18" t="s">
        <v>33</v>
      </c>
      <c r="B100" s="13">
        <v>5.0</v>
      </c>
      <c r="C100" s="13" t="s">
        <v>14</v>
      </c>
      <c r="D100" s="13" t="s">
        <v>2</v>
      </c>
      <c r="E100" s="13">
        <v>12.7</v>
      </c>
      <c r="F100" s="13">
        <v>9.06</v>
      </c>
      <c r="G100" s="13">
        <v>3.64</v>
      </c>
      <c r="H100" s="13">
        <v>0.46</v>
      </c>
    </row>
    <row r="101">
      <c r="A101" s="18" t="s">
        <v>33</v>
      </c>
      <c r="B101" s="13">
        <v>5.0</v>
      </c>
      <c r="C101" s="13" t="s">
        <v>14</v>
      </c>
      <c r="D101" s="13" t="s">
        <v>3</v>
      </c>
      <c r="E101" s="13">
        <v>6.1</v>
      </c>
      <c r="F101" s="13">
        <v>5.2</v>
      </c>
      <c r="G101" s="13">
        <v>0.9</v>
      </c>
      <c r="H101" s="13">
        <v>0.05</v>
      </c>
    </row>
    <row r="102">
      <c r="A102" s="18" t="s">
        <v>33</v>
      </c>
      <c r="B102" s="13">
        <v>5.0</v>
      </c>
      <c r="C102" s="13" t="s">
        <v>14</v>
      </c>
      <c r="D102" s="13" t="s">
        <v>4</v>
      </c>
      <c r="E102" s="13">
        <v>2.1</v>
      </c>
      <c r="F102" s="13">
        <v>2.41</v>
      </c>
      <c r="G102" s="13">
        <v>-0.31</v>
      </c>
      <c r="H102" s="13">
        <v>-0.01</v>
      </c>
    </row>
    <row r="103">
      <c r="A103" s="18" t="s">
        <v>33</v>
      </c>
      <c r="B103" s="13">
        <v>5.0</v>
      </c>
      <c r="C103" s="13" t="s">
        <v>14</v>
      </c>
      <c r="D103" s="13" t="s">
        <v>5</v>
      </c>
      <c r="E103" s="13">
        <v>0.7</v>
      </c>
      <c r="F103" s="13">
        <v>1.15</v>
      </c>
      <c r="G103" s="13">
        <v>-0.45</v>
      </c>
      <c r="H103" s="13">
        <v>0.0</v>
      </c>
    </row>
    <row r="104">
      <c r="A104" s="18" t="s">
        <v>34</v>
      </c>
      <c r="B104" s="13">
        <v>5.0</v>
      </c>
      <c r="C104" s="13" t="s">
        <v>16</v>
      </c>
      <c r="D104" s="13" t="s">
        <v>0</v>
      </c>
      <c r="E104" s="13">
        <v>83.3</v>
      </c>
      <c r="F104" s="13">
        <v>80.7</v>
      </c>
      <c r="G104" s="13">
        <v>2.6</v>
      </c>
      <c r="H104" s="13">
        <v>2.17</v>
      </c>
    </row>
    <row r="105">
      <c r="A105" s="18" t="s">
        <v>34</v>
      </c>
      <c r="B105" s="13">
        <v>5.0</v>
      </c>
      <c r="C105" s="13" t="s">
        <v>16</v>
      </c>
      <c r="D105" s="13" t="s">
        <v>1</v>
      </c>
      <c r="E105" s="13">
        <v>39.3</v>
      </c>
      <c r="F105" s="13">
        <v>38.02</v>
      </c>
      <c r="G105" s="13">
        <v>1.28</v>
      </c>
      <c r="H105" s="13">
        <v>0.5</v>
      </c>
    </row>
    <row r="106">
      <c r="A106" s="18" t="s">
        <v>34</v>
      </c>
      <c r="B106" s="13">
        <v>5.0</v>
      </c>
      <c r="C106" s="13" t="s">
        <v>16</v>
      </c>
      <c r="D106" s="13" t="s">
        <v>2</v>
      </c>
      <c r="E106" s="13">
        <v>9.2</v>
      </c>
      <c r="F106" s="13">
        <v>6.87</v>
      </c>
      <c r="G106" s="13">
        <v>2.33</v>
      </c>
      <c r="H106" s="13">
        <v>0.21</v>
      </c>
    </row>
    <row r="107">
      <c r="A107" s="18" t="s">
        <v>34</v>
      </c>
      <c r="B107" s="13">
        <v>5.0</v>
      </c>
      <c r="C107" s="13" t="s">
        <v>16</v>
      </c>
      <c r="D107" s="13" t="s">
        <v>3</v>
      </c>
      <c r="E107" s="13">
        <v>3.6</v>
      </c>
      <c r="F107" s="13">
        <v>3.02</v>
      </c>
      <c r="G107" s="13">
        <v>0.58</v>
      </c>
      <c r="H107" s="13">
        <v>0.02</v>
      </c>
    </row>
    <row r="108">
      <c r="A108" s="18" t="s">
        <v>34</v>
      </c>
      <c r="B108" s="13">
        <v>5.0</v>
      </c>
      <c r="C108" s="13" t="s">
        <v>16</v>
      </c>
      <c r="D108" s="13" t="s">
        <v>4</v>
      </c>
      <c r="E108" s="13">
        <v>1.2</v>
      </c>
      <c r="F108" s="13">
        <v>1.52</v>
      </c>
      <c r="G108" s="13">
        <v>-0.32</v>
      </c>
      <c r="H108" s="13">
        <v>0.0</v>
      </c>
    </row>
    <row r="109">
      <c r="A109" s="18" t="s">
        <v>34</v>
      </c>
      <c r="B109" s="13">
        <v>5.0</v>
      </c>
      <c r="C109" s="13" t="s">
        <v>16</v>
      </c>
      <c r="D109" s="13" t="s">
        <v>5</v>
      </c>
      <c r="E109" s="13">
        <v>0.3</v>
      </c>
      <c r="F109" s="13">
        <v>0.9</v>
      </c>
      <c r="G109" s="13">
        <v>-0.6</v>
      </c>
      <c r="H109" s="13">
        <v>0.0</v>
      </c>
    </row>
    <row r="110">
      <c r="A110" s="18" t="s">
        <v>35</v>
      </c>
      <c r="B110" s="13">
        <v>5.0</v>
      </c>
      <c r="C110" s="13" t="s">
        <v>18</v>
      </c>
      <c r="D110" s="13" t="s">
        <v>0</v>
      </c>
      <c r="E110" s="13">
        <v>78.2</v>
      </c>
      <c r="F110" s="13">
        <v>73.24</v>
      </c>
      <c r="G110" s="13">
        <v>4.96</v>
      </c>
      <c r="H110" s="13">
        <v>3.88</v>
      </c>
    </row>
    <row r="111">
      <c r="A111" s="18" t="s">
        <v>35</v>
      </c>
      <c r="B111" s="13">
        <v>5.0</v>
      </c>
      <c r="C111" s="13" t="s">
        <v>18</v>
      </c>
      <c r="D111" s="13" t="s">
        <v>1</v>
      </c>
      <c r="E111" s="13">
        <v>42.0</v>
      </c>
      <c r="F111" s="13">
        <v>33.74</v>
      </c>
      <c r="G111" s="13">
        <v>8.26</v>
      </c>
      <c r="H111" s="13">
        <v>3.47</v>
      </c>
    </row>
    <row r="112">
      <c r="A112" s="18" t="s">
        <v>35</v>
      </c>
      <c r="B112" s="13">
        <v>5.0</v>
      </c>
      <c r="C112" s="13" t="s">
        <v>18</v>
      </c>
      <c r="D112" s="13" t="s">
        <v>2</v>
      </c>
      <c r="E112" s="13">
        <v>11.2</v>
      </c>
      <c r="F112" s="13">
        <v>4.91</v>
      </c>
      <c r="G112" s="13">
        <v>6.29</v>
      </c>
      <c r="H112" s="13">
        <v>0.7</v>
      </c>
    </row>
    <row r="113">
      <c r="A113" s="18" t="s">
        <v>35</v>
      </c>
      <c r="B113" s="13">
        <v>5.0</v>
      </c>
      <c r="C113" s="13" t="s">
        <v>18</v>
      </c>
      <c r="D113" s="13" t="s">
        <v>3</v>
      </c>
      <c r="E113" s="13">
        <v>4.7</v>
      </c>
      <c r="F113" s="13">
        <v>1.84</v>
      </c>
      <c r="G113" s="13">
        <v>2.86</v>
      </c>
      <c r="H113" s="13">
        <v>0.13</v>
      </c>
    </row>
    <row r="114">
      <c r="A114" s="18" t="s">
        <v>35</v>
      </c>
      <c r="B114" s="13">
        <v>5.0</v>
      </c>
      <c r="C114" s="13" t="s">
        <v>18</v>
      </c>
      <c r="D114" s="13" t="s">
        <v>4</v>
      </c>
      <c r="E114" s="13">
        <v>1.6</v>
      </c>
      <c r="F114" s="13">
        <v>0.59</v>
      </c>
      <c r="G114" s="13">
        <v>1.01</v>
      </c>
      <c r="H114" s="13">
        <v>0.02</v>
      </c>
    </row>
    <row r="115">
      <c r="A115" s="18" t="s">
        <v>35</v>
      </c>
      <c r="B115" s="13">
        <v>5.0</v>
      </c>
      <c r="C115" s="13" t="s">
        <v>18</v>
      </c>
      <c r="D115" s="13" t="s">
        <v>5</v>
      </c>
      <c r="E115" s="13">
        <v>0.5</v>
      </c>
      <c r="F115" s="13">
        <v>0.21</v>
      </c>
      <c r="G115" s="13">
        <v>0.29</v>
      </c>
      <c r="H115" s="13">
        <v>0.0</v>
      </c>
    </row>
    <row r="116">
      <c r="A116" s="18" t="s">
        <v>36</v>
      </c>
      <c r="B116" s="13">
        <v>5.0</v>
      </c>
      <c r="C116" s="13" t="s">
        <v>20</v>
      </c>
      <c r="D116" s="13" t="s">
        <v>0</v>
      </c>
      <c r="E116" s="13">
        <v>82.3</v>
      </c>
      <c r="F116" s="13">
        <v>80.87</v>
      </c>
      <c r="G116" s="13">
        <v>1.43</v>
      </c>
      <c r="H116" s="13">
        <v>1.18</v>
      </c>
    </row>
    <row r="117">
      <c r="A117" s="18" t="s">
        <v>36</v>
      </c>
      <c r="B117" s="13">
        <v>5.0</v>
      </c>
      <c r="C117" s="13" t="s">
        <v>20</v>
      </c>
      <c r="D117" s="13" t="s">
        <v>1</v>
      </c>
      <c r="E117" s="13">
        <v>46.3</v>
      </c>
      <c r="F117" s="13">
        <v>53.24</v>
      </c>
      <c r="G117" s="13">
        <v>-6.94</v>
      </c>
      <c r="H117" s="13">
        <v>-3.21</v>
      </c>
    </row>
    <row r="118">
      <c r="A118" s="18" t="s">
        <v>36</v>
      </c>
      <c r="B118" s="13">
        <v>5.0</v>
      </c>
      <c r="C118" s="13" t="s">
        <v>20</v>
      </c>
      <c r="D118" s="13" t="s">
        <v>2</v>
      </c>
      <c r="E118" s="13">
        <v>19.0</v>
      </c>
      <c r="F118" s="13">
        <v>10.57</v>
      </c>
      <c r="G118" s="13">
        <v>8.43</v>
      </c>
      <c r="H118" s="13">
        <v>1.6</v>
      </c>
    </row>
    <row r="119">
      <c r="A119" s="18" t="s">
        <v>36</v>
      </c>
      <c r="B119" s="13">
        <v>5.0</v>
      </c>
      <c r="C119" s="13" t="s">
        <v>20</v>
      </c>
      <c r="D119" s="13" t="s">
        <v>3</v>
      </c>
      <c r="E119" s="13">
        <v>8.0</v>
      </c>
      <c r="F119" s="13">
        <v>2.87</v>
      </c>
      <c r="G119" s="13">
        <v>5.13</v>
      </c>
      <c r="H119" s="13">
        <v>0.41</v>
      </c>
    </row>
    <row r="120">
      <c r="A120" s="18" t="s">
        <v>36</v>
      </c>
      <c r="B120" s="13">
        <v>5.0</v>
      </c>
      <c r="C120" s="13" t="s">
        <v>20</v>
      </c>
      <c r="D120" s="13" t="s">
        <v>4</v>
      </c>
      <c r="E120" s="13">
        <v>3.0</v>
      </c>
      <c r="F120" s="13">
        <v>0.73</v>
      </c>
      <c r="G120" s="13">
        <v>2.27</v>
      </c>
      <c r="H120" s="13">
        <v>0.07</v>
      </c>
    </row>
    <row r="121">
      <c r="A121" s="18" t="s">
        <v>36</v>
      </c>
      <c r="B121" s="13">
        <v>5.0</v>
      </c>
      <c r="C121" s="13" t="s">
        <v>20</v>
      </c>
      <c r="D121" s="13" t="s">
        <v>5</v>
      </c>
      <c r="E121" s="13">
        <v>1.0</v>
      </c>
      <c r="F121" s="13">
        <v>0.26</v>
      </c>
      <c r="G121" s="13">
        <v>0.74</v>
      </c>
      <c r="H121" s="13">
        <v>0.01</v>
      </c>
    </row>
    <row r="122">
      <c r="A122" s="18" t="s">
        <v>37</v>
      </c>
      <c r="B122" s="13">
        <v>6.0</v>
      </c>
      <c r="C122" s="13" t="s">
        <v>14</v>
      </c>
      <c r="D122" s="13" t="s">
        <v>0</v>
      </c>
      <c r="E122" s="13">
        <v>72.3</v>
      </c>
      <c r="F122" s="13">
        <v>64.54</v>
      </c>
      <c r="G122" s="13">
        <v>7.76</v>
      </c>
      <c r="H122" s="13">
        <v>5.61</v>
      </c>
    </row>
    <row r="123">
      <c r="A123" s="18" t="s">
        <v>37</v>
      </c>
      <c r="B123" s="13">
        <v>6.0</v>
      </c>
      <c r="C123" s="13" t="s">
        <v>14</v>
      </c>
      <c r="D123" s="13" t="s">
        <v>1</v>
      </c>
      <c r="E123" s="13">
        <v>33.9</v>
      </c>
      <c r="F123" s="13">
        <v>18.24</v>
      </c>
      <c r="G123" s="13">
        <v>15.66</v>
      </c>
      <c r="H123" s="13">
        <v>5.31</v>
      </c>
    </row>
    <row r="124">
      <c r="A124" s="18" t="s">
        <v>37</v>
      </c>
      <c r="B124" s="13">
        <v>6.0</v>
      </c>
      <c r="C124" s="13" t="s">
        <v>14</v>
      </c>
      <c r="D124" s="13" t="s">
        <v>2</v>
      </c>
      <c r="E124" s="13">
        <v>17.2</v>
      </c>
      <c r="F124" s="13">
        <v>7.24</v>
      </c>
      <c r="G124" s="13">
        <v>9.96</v>
      </c>
      <c r="H124" s="13">
        <v>1.71</v>
      </c>
    </row>
    <row r="125">
      <c r="A125" s="18" t="s">
        <v>37</v>
      </c>
      <c r="B125" s="13">
        <v>6.0</v>
      </c>
      <c r="C125" s="13" t="s">
        <v>14</v>
      </c>
      <c r="D125" s="13" t="s">
        <v>3</v>
      </c>
      <c r="E125" s="13">
        <v>5.3</v>
      </c>
      <c r="F125" s="13">
        <v>0.68</v>
      </c>
      <c r="G125" s="13">
        <v>4.62</v>
      </c>
      <c r="H125" s="13">
        <v>0.24</v>
      </c>
    </row>
    <row r="126">
      <c r="A126" s="18" t="s">
        <v>37</v>
      </c>
      <c r="B126" s="13">
        <v>6.0</v>
      </c>
      <c r="C126" s="13" t="s">
        <v>14</v>
      </c>
      <c r="D126" s="13" t="s">
        <v>4</v>
      </c>
      <c r="E126" s="13">
        <v>1.7</v>
      </c>
      <c r="F126" s="13">
        <v>0.25</v>
      </c>
      <c r="G126" s="13">
        <v>1.45</v>
      </c>
      <c r="H126" s="13">
        <v>0.02</v>
      </c>
    </row>
    <row r="127">
      <c r="A127" s="18" t="s">
        <v>37</v>
      </c>
      <c r="B127" s="13">
        <v>6.0</v>
      </c>
      <c r="C127" s="13" t="s">
        <v>14</v>
      </c>
      <c r="D127" s="13" t="s">
        <v>5</v>
      </c>
      <c r="E127" s="13">
        <v>0.5</v>
      </c>
      <c r="F127" s="13">
        <v>0.11</v>
      </c>
      <c r="G127" s="13">
        <v>0.39</v>
      </c>
      <c r="H127" s="13">
        <v>0.0</v>
      </c>
    </row>
    <row r="128">
      <c r="A128" s="18" t="s">
        <v>38</v>
      </c>
      <c r="B128" s="13">
        <v>6.0</v>
      </c>
      <c r="C128" s="13" t="s">
        <v>16</v>
      </c>
      <c r="D128" s="13" t="s">
        <v>0</v>
      </c>
      <c r="E128" s="13">
        <v>60.0</v>
      </c>
      <c r="F128" s="13">
        <v>78.9</v>
      </c>
      <c r="G128" s="13">
        <v>-18.9</v>
      </c>
      <c r="H128" s="13">
        <v>-11.34</v>
      </c>
    </row>
    <row r="129">
      <c r="A129" s="18" t="s">
        <v>38</v>
      </c>
      <c r="B129" s="13">
        <v>6.0</v>
      </c>
      <c r="C129" s="13" t="s">
        <v>16</v>
      </c>
      <c r="D129" s="13" t="s">
        <v>1</v>
      </c>
      <c r="E129" s="13">
        <v>23.8</v>
      </c>
      <c r="F129" s="13">
        <v>27.54</v>
      </c>
      <c r="G129" s="13">
        <v>-3.74</v>
      </c>
      <c r="H129" s="13">
        <v>-0.89</v>
      </c>
    </row>
    <row r="130">
      <c r="A130" s="18" t="s">
        <v>38</v>
      </c>
      <c r="B130" s="13">
        <v>6.0</v>
      </c>
      <c r="C130" s="13" t="s">
        <v>16</v>
      </c>
      <c r="D130" s="13" t="s">
        <v>2</v>
      </c>
      <c r="E130" s="13">
        <v>9.3</v>
      </c>
      <c r="F130" s="13">
        <v>11.44</v>
      </c>
      <c r="G130" s="13">
        <v>-2.14</v>
      </c>
      <c r="H130" s="13">
        <v>-0.2</v>
      </c>
    </row>
    <row r="131">
      <c r="A131" s="18" t="s">
        <v>38</v>
      </c>
      <c r="B131" s="13">
        <v>6.0</v>
      </c>
      <c r="C131" s="13" t="s">
        <v>16</v>
      </c>
      <c r="D131" s="13" t="s">
        <v>3</v>
      </c>
      <c r="E131" s="13">
        <v>2.5</v>
      </c>
      <c r="F131" s="13">
        <v>1.71</v>
      </c>
      <c r="G131" s="13">
        <v>0.79</v>
      </c>
      <c r="H131" s="13">
        <v>0.02</v>
      </c>
    </row>
    <row r="132">
      <c r="A132" s="18" t="s">
        <v>38</v>
      </c>
      <c r="B132" s="13">
        <v>6.0</v>
      </c>
      <c r="C132" s="13" t="s">
        <v>16</v>
      </c>
      <c r="D132" s="13" t="s">
        <v>4</v>
      </c>
      <c r="E132" s="13">
        <v>0.8</v>
      </c>
      <c r="F132" s="13">
        <v>0.79</v>
      </c>
      <c r="G132" s="13">
        <v>0.01</v>
      </c>
      <c r="H132" s="13">
        <v>0.0</v>
      </c>
    </row>
    <row r="133">
      <c r="A133" s="18" t="s">
        <v>38</v>
      </c>
      <c r="B133" s="13">
        <v>6.0</v>
      </c>
      <c r="C133" s="13" t="s">
        <v>16</v>
      </c>
      <c r="D133" s="13" t="s">
        <v>5</v>
      </c>
      <c r="E133" s="13">
        <v>0.2</v>
      </c>
      <c r="F133" s="13">
        <v>0.31</v>
      </c>
      <c r="G133" s="13">
        <v>-0.11</v>
      </c>
      <c r="H133" s="13">
        <v>0.0</v>
      </c>
    </row>
    <row r="134">
      <c r="A134" s="18" t="s">
        <v>39</v>
      </c>
      <c r="B134" s="13">
        <v>6.0</v>
      </c>
      <c r="C134" s="13" t="s">
        <v>18</v>
      </c>
      <c r="D134" s="13" t="s">
        <v>0</v>
      </c>
      <c r="E134" s="13">
        <v>73.1</v>
      </c>
      <c r="F134" s="13">
        <v>82.59</v>
      </c>
      <c r="G134" s="13">
        <v>-9.49</v>
      </c>
      <c r="H134" s="13">
        <v>-6.94</v>
      </c>
    </row>
    <row r="135">
      <c r="A135" s="18" t="s">
        <v>39</v>
      </c>
      <c r="B135" s="13">
        <v>6.0</v>
      </c>
      <c r="C135" s="13" t="s">
        <v>18</v>
      </c>
      <c r="D135" s="13" t="s">
        <v>1</v>
      </c>
      <c r="E135" s="13">
        <v>37.6</v>
      </c>
      <c r="F135" s="13">
        <v>31.55</v>
      </c>
      <c r="G135" s="13">
        <v>6.05</v>
      </c>
      <c r="H135" s="13">
        <v>2.27</v>
      </c>
    </row>
    <row r="136">
      <c r="A136" s="18" t="s">
        <v>39</v>
      </c>
      <c r="B136" s="13">
        <v>6.0</v>
      </c>
      <c r="C136" s="13" t="s">
        <v>18</v>
      </c>
      <c r="D136" s="13" t="s">
        <v>2</v>
      </c>
      <c r="E136" s="13">
        <v>15.8</v>
      </c>
      <c r="F136" s="13">
        <v>11.99</v>
      </c>
      <c r="G136" s="13">
        <v>3.81</v>
      </c>
      <c r="H136" s="13">
        <v>0.6</v>
      </c>
    </row>
    <row r="137">
      <c r="A137" s="18" t="s">
        <v>39</v>
      </c>
      <c r="B137" s="13">
        <v>6.0</v>
      </c>
      <c r="C137" s="13" t="s">
        <v>18</v>
      </c>
      <c r="D137" s="13" t="s">
        <v>3</v>
      </c>
      <c r="E137" s="13">
        <v>5.1</v>
      </c>
      <c r="F137" s="13">
        <v>1.8</v>
      </c>
      <c r="G137" s="13">
        <v>3.3</v>
      </c>
      <c r="H137" s="13">
        <v>0.17</v>
      </c>
    </row>
    <row r="138">
      <c r="A138" s="18" t="s">
        <v>39</v>
      </c>
      <c r="B138" s="13">
        <v>6.0</v>
      </c>
      <c r="C138" s="13" t="s">
        <v>18</v>
      </c>
      <c r="D138" s="13" t="s">
        <v>4</v>
      </c>
      <c r="E138" s="13">
        <v>1.8</v>
      </c>
      <c r="F138" s="13">
        <v>0.61</v>
      </c>
      <c r="G138" s="13">
        <v>1.19</v>
      </c>
      <c r="H138" s="13">
        <v>0.02</v>
      </c>
    </row>
    <row r="139">
      <c r="A139" s="18" t="s">
        <v>39</v>
      </c>
      <c r="B139" s="13">
        <v>6.0</v>
      </c>
      <c r="C139" s="13" t="s">
        <v>18</v>
      </c>
      <c r="D139" s="13" t="s">
        <v>5</v>
      </c>
      <c r="E139" s="13">
        <v>0.6</v>
      </c>
      <c r="F139" s="13">
        <v>0.24</v>
      </c>
      <c r="G139" s="13">
        <v>0.36</v>
      </c>
      <c r="H139" s="13">
        <v>0.0</v>
      </c>
    </row>
    <row r="140">
      <c r="A140" s="18" t="s">
        <v>40</v>
      </c>
      <c r="B140" s="13">
        <v>6.0</v>
      </c>
      <c r="C140" s="13" t="s">
        <v>20</v>
      </c>
      <c r="D140" s="13" t="s">
        <v>0</v>
      </c>
      <c r="E140" s="13">
        <v>58.9</v>
      </c>
      <c r="F140" s="13">
        <v>69.27</v>
      </c>
      <c r="G140" s="13">
        <v>-10.37</v>
      </c>
      <c r="H140" s="13">
        <v>-6.11</v>
      </c>
    </row>
    <row r="141">
      <c r="A141" s="18" t="s">
        <v>40</v>
      </c>
      <c r="B141" s="13">
        <v>6.0</v>
      </c>
      <c r="C141" s="13" t="s">
        <v>20</v>
      </c>
      <c r="D141" s="13" t="s">
        <v>1</v>
      </c>
      <c r="E141" s="13">
        <v>15.7</v>
      </c>
      <c r="F141" s="13">
        <v>29.2</v>
      </c>
      <c r="G141" s="13">
        <v>-13.5</v>
      </c>
      <c r="H141" s="13">
        <v>-2.12</v>
      </c>
    </row>
    <row r="142">
      <c r="A142" s="18" t="s">
        <v>40</v>
      </c>
      <c r="B142" s="13">
        <v>6.0</v>
      </c>
      <c r="C142" s="13" t="s">
        <v>20</v>
      </c>
      <c r="D142" s="13" t="s">
        <v>2</v>
      </c>
      <c r="E142" s="13">
        <v>4.7</v>
      </c>
      <c r="F142" s="13">
        <v>12.72</v>
      </c>
      <c r="G142" s="13">
        <v>-8.02</v>
      </c>
      <c r="H142" s="13">
        <v>-0.38</v>
      </c>
    </row>
    <row r="143">
      <c r="A143" s="18" t="s">
        <v>40</v>
      </c>
      <c r="B143" s="13">
        <v>6.0</v>
      </c>
      <c r="C143" s="13" t="s">
        <v>20</v>
      </c>
      <c r="D143" s="13" t="s">
        <v>3</v>
      </c>
      <c r="E143" s="13">
        <v>1.4</v>
      </c>
      <c r="F143" s="13">
        <v>4.3</v>
      </c>
      <c r="G143" s="13">
        <v>-2.9</v>
      </c>
      <c r="H143" s="13">
        <v>-0.04</v>
      </c>
    </row>
    <row r="144">
      <c r="A144" s="18" t="s">
        <v>40</v>
      </c>
      <c r="B144" s="13">
        <v>6.0</v>
      </c>
      <c r="C144" s="13" t="s">
        <v>20</v>
      </c>
      <c r="D144" s="13" t="s">
        <v>4</v>
      </c>
      <c r="E144" s="13">
        <v>0.4</v>
      </c>
      <c r="F144" s="13">
        <v>1.04</v>
      </c>
      <c r="G144" s="13">
        <v>-0.64</v>
      </c>
      <c r="H144" s="13">
        <v>0.0</v>
      </c>
    </row>
    <row r="145">
      <c r="A145" s="18" t="s">
        <v>40</v>
      </c>
      <c r="B145" s="13">
        <v>6.0</v>
      </c>
      <c r="C145" s="13" t="s">
        <v>20</v>
      </c>
      <c r="D145" s="13" t="s">
        <v>5</v>
      </c>
      <c r="E145" s="13">
        <v>0.07</v>
      </c>
      <c r="F145" s="13">
        <v>0.51</v>
      </c>
      <c r="G145" s="13">
        <v>-0.44</v>
      </c>
      <c r="H145" s="13">
        <v>0.0</v>
      </c>
    </row>
    <row r="146">
      <c r="A146" s="18" t="s">
        <v>41</v>
      </c>
      <c r="B146" s="13">
        <v>7.0</v>
      </c>
      <c r="C146" s="13" t="s">
        <v>14</v>
      </c>
      <c r="D146" s="13" t="s">
        <v>0</v>
      </c>
      <c r="E146" s="13">
        <v>65.8</v>
      </c>
      <c r="F146" s="13">
        <v>67.25</v>
      </c>
      <c r="G146" s="13">
        <v>-1.45</v>
      </c>
      <c r="H146" s="13">
        <v>-0.95</v>
      </c>
    </row>
    <row r="147">
      <c r="A147" s="18" t="s">
        <v>41</v>
      </c>
      <c r="B147" s="13">
        <v>7.0</v>
      </c>
      <c r="C147" s="13" t="s">
        <v>14</v>
      </c>
      <c r="D147" s="13" t="s">
        <v>1</v>
      </c>
      <c r="E147" s="13">
        <v>25.1</v>
      </c>
      <c r="F147" s="13">
        <v>17.41</v>
      </c>
      <c r="G147" s="13">
        <v>7.69</v>
      </c>
      <c r="H147" s="13">
        <v>1.93</v>
      </c>
    </row>
    <row r="148">
      <c r="A148" s="18" t="s">
        <v>41</v>
      </c>
      <c r="B148" s="13">
        <v>7.0</v>
      </c>
      <c r="C148" s="13" t="s">
        <v>14</v>
      </c>
      <c r="D148" s="13" t="s">
        <v>2</v>
      </c>
      <c r="E148" s="13">
        <v>10.0</v>
      </c>
      <c r="F148" s="13">
        <v>6.09</v>
      </c>
      <c r="G148" s="13">
        <v>3.91</v>
      </c>
      <c r="H148" s="13">
        <v>0.39</v>
      </c>
    </row>
    <row r="149">
      <c r="A149" s="18" t="s">
        <v>41</v>
      </c>
      <c r="B149" s="13">
        <v>7.0</v>
      </c>
      <c r="C149" s="13" t="s">
        <v>14</v>
      </c>
      <c r="D149" s="13" t="s">
        <v>3</v>
      </c>
      <c r="E149" s="13">
        <v>2.5</v>
      </c>
      <c r="F149" s="13">
        <v>0.95</v>
      </c>
      <c r="G149" s="13">
        <v>1.55</v>
      </c>
      <c r="H149" s="13">
        <v>0.04</v>
      </c>
    </row>
    <row r="150">
      <c r="A150" s="18" t="s">
        <v>41</v>
      </c>
      <c r="B150" s="13">
        <v>7.0</v>
      </c>
      <c r="C150" s="13" t="s">
        <v>14</v>
      </c>
      <c r="D150" s="13" t="s">
        <v>4</v>
      </c>
      <c r="E150" s="13">
        <v>0.7</v>
      </c>
      <c r="F150" s="13">
        <v>0.47</v>
      </c>
      <c r="G150" s="13">
        <v>0.23</v>
      </c>
      <c r="H150" s="13">
        <v>0.0</v>
      </c>
    </row>
    <row r="151">
      <c r="A151" s="18" t="s">
        <v>41</v>
      </c>
      <c r="B151" s="13">
        <v>7.0</v>
      </c>
      <c r="C151" s="13" t="s">
        <v>14</v>
      </c>
      <c r="D151" s="13" t="s">
        <v>5</v>
      </c>
      <c r="E151" s="13">
        <v>0.2</v>
      </c>
      <c r="F151" s="13">
        <v>0.26</v>
      </c>
      <c r="G151" s="13">
        <v>-0.06</v>
      </c>
      <c r="H151" s="13">
        <v>0.0</v>
      </c>
    </row>
    <row r="152">
      <c r="A152" s="18" t="s">
        <v>42</v>
      </c>
      <c r="B152" s="13">
        <v>7.0</v>
      </c>
      <c r="C152" s="13" t="s">
        <v>16</v>
      </c>
      <c r="D152" s="13" t="s">
        <v>0</v>
      </c>
      <c r="E152" s="13">
        <v>62.7</v>
      </c>
      <c r="F152" s="13">
        <v>60.84</v>
      </c>
      <c r="G152" s="13">
        <v>1.86</v>
      </c>
      <c r="H152" s="13">
        <v>1.17</v>
      </c>
    </row>
    <row r="153">
      <c r="A153" s="18" t="s">
        <v>42</v>
      </c>
      <c r="B153" s="13">
        <v>7.0</v>
      </c>
      <c r="C153" s="13" t="s">
        <v>16</v>
      </c>
      <c r="D153" s="13" t="s">
        <v>1</v>
      </c>
      <c r="E153" s="13">
        <v>17.5</v>
      </c>
      <c r="F153" s="13">
        <v>14.81</v>
      </c>
      <c r="G153" s="13">
        <v>2.69</v>
      </c>
      <c r="H153" s="13">
        <v>0.47</v>
      </c>
    </row>
    <row r="154">
      <c r="A154" s="18" t="s">
        <v>42</v>
      </c>
      <c r="B154" s="13">
        <v>7.0</v>
      </c>
      <c r="C154" s="13" t="s">
        <v>16</v>
      </c>
      <c r="D154" s="13" t="s">
        <v>2</v>
      </c>
      <c r="E154" s="13">
        <v>6.6</v>
      </c>
      <c r="F154" s="13">
        <v>4.75</v>
      </c>
      <c r="G154" s="13">
        <v>1.85</v>
      </c>
      <c r="H154" s="13">
        <v>0.12</v>
      </c>
    </row>
    <row r="155">
      <c r="A155" s="18" t="s">
        <v>42</v>
      </c>
      <c r="B155" s="13">
        <v>7.0</v>
      </c>
      <c r="C155" s="13" t="s">
        <v>16</v>
      </c>
      <c r="D155" s="13" t="s">
        <v>3</v>
      </c>
      <c r="E155" s="13">
        <v>1.6</v>
      </c>
      <c r="F155" s="13">
        <v>1.36</v>
      </c>
      <c r="G155" s="13">
        <v>0.24</v>
      </c>
      <c r="H155" s="13">
        <v>0.0</v>
      </c>
    </row>
    <row r="156">
      <c r="A156" s="18" t="s">
        <v>42</v>
      </c>
      <c r="B156" s="13">
        <v>7.0</v>
      </c>
      <c r="C156" s="13" t="s">
        <v>16</v>
      </c>
      <c r="D156" s="13" t="s">
        <v>4</v>
      </c>
      <c r="E156" s="13">
        <v>0.4</v>
      </c>
      <c r="F156" s="13">
        <v>0.48</v>
      </c>
      <c r="G156" s="13">
        <v>-0.08</v>
      </c>
      <c r="H156" s="13">
        <v>0.0</v>
      </c>
    </row>
    <row r="157">
      <c r="A157" s="18" t="s">
        <v>42</v>
      </c>
      <c r="B157" s="13">
        <v>7.0</v>
      </c>
      <c r="C157" s="13" t="s">
        <v>16</v>
      </c>
      <c r="D157" s="13" t="s">
        <v>5</v>
      </c>
      <c r="E157" s="13">
        <v>0.08</v>
      </c>
      <c r="F157" s="13">
        <v>0.21</v>
      </c>
      <c r="G157" s="13">
        <v>-0.13</v>
      </c>
      <c r="H157" s="13">
        <v>0.0</v>
      </c>
    </row>
    <row r="158">
      <c r="A158" s="18" t="s">
        <v>43</v>
      </c>
      <c r="B158" s="13">
        <v>7.0</v>
      </c>
      <c r="C158" s="13" t="s">
        <v>18</v>
      </c>
      <c r="D158" s="13" t="s">
        <v>0</v>
      </c>
      <c r="E158" s="13">
        <v>55.5</v>
      </c>
      <c r="F158" s="13">
        <v>65.63</v>
      </c>
      <c r="G158" s="13">
        <v>-10.13</v>
      </c>
      <c r="H158" s="13">
        <v>-5.62</v>
      </c>
    </row>
    <row r="159">
      <c r="A159" s="18" t="s">
        <v>43</v>
      </c>
      <c r="B159" s="13">
        <v>7.0</v>
      </c>
      <c r="C159" s="13" t="s">
        <v>18</v>
      </c>
      <c r="D159" s="13" t="s">
        <v>1</v>
      </c>
      <c r="E159" s="13">
        <v>14.6</v>
      </c>
      <c r="F159" s="13">
        <v>20.83</v>
      </c>
      <c r="G159" s="13">
        <v>-6.23</v>
      </c>
      <c r="H159" s="13">
        <v>-0.91</v>
      </c>
    </row>
    <row r="160">
      <c r="A160" s="18" t="s">
        <v>43</v>
      </c>
      <c r="B160" s="13">
        <v>7.0</v>
      </c>
      <c r="C160" s="13" t="s">
        <v>18</v>
      </c>
      <c r="D160" s="13" t="s">
        <v>2</v>
      </c>
      <c r="E160" s="13">
        <v>6.0</v>
      </c>
      <c r="F160" s="13">
        <v>8.35</v>
      </c>
      <c r="G160" s="13">
        <v>-2.35</v>
      </c>
      <c r="H160" s="13">
        <v>-0.14</v>
      </c>
    </row>
    <row r="161">
      <c r="A161" s="18" t="s">
        <v>43</v>
      </c>
      <c r="B161" s="13">
        <v>7.0</v>
      </c>
      <c r="C161" s="13" t="s">
        <v>18</v>
      </c>
      <c r="D161" s="13" t="s">
        <v>3</v>
      </c>
      <c r="E161" s="13">
        <v>1.3</v>
      </c>
      <c r="F161" s="13">
        <v>2.98</v>
      </c>
      <c r="G161" s="13">
        <v>-1.68</v>
      </c>
      <c r="H161" s="13">
        <v>-0.02</v>
      </c>
    </row>
    <row r="162">
      <c r="A162" s="18" t="s">
        <v>43</v>
      </c>
      <c r="B162" s="13">
        <v>7.0</v>
      </c>
      <c r="C162" s="13" t="s">
        <v>18</v>
      </c>
      <c r="D162" s="13" t="s">
        <v>4</v>
      </c>
      <c r="E162" s="13">
        <v>0.3</v>
      </c>
      <c r="F162" s="13">
        <v>1.62</v>
      </c>
      <c r="G162" s="13">
        <v>-1.32</v>
      </c>
      <c r="H162" s="13">
        <v>0.0</v>
      </c>
    </row>
    <row r="163">
      <c r="A163" s="18" t="s">
        <v>43</v>
      </c>
      <c r="B163" s="13">
        <v>7.0</v>
      </c>
      <c r="C163" s="13" t="s">
        <v>18</v>
      </c>
      <c r="D163" s="13" t="s">
        <v>5</v>
      </c>
      <c r="E163" s="13">
        <v>0.08</v>
      </c>
      <c r="F163" s="13">
        <v>0.38</v>
      </c>
      <c r="G163" s="13">
        <v>-0.3</v>
      </c>
      <c r="H163" s="13">
        <v>0.0</v>
      </c>
    </row>
    <row r="164">
      <c r="A164" s="18" t="s">
        <v>44</v>
      </c>
      <c r="B164" s="13">
        <v>7.0</v>
      </c>
      <c r="C164" s="13" t="s">
        <v>20</v>
      </c>
      <c r="D164" s="13" t="s">
        <v>0</v>
      </c>
      <c r="E164" s="13">
        <v>60.4</v>
      </c>
      <c r="F164" s="13">
        <v>50.99</v>
      </c>
      <c r="G164" s="13">
        <v>9.41</v>
      </c>
      <c r="H164" s="13">
        <v>5.68</v>
      </c>
    </row>
    <row r="165">
      <c r="A165" s="18" t="s">
        <v>44</v>
      </c>
      <c r="B165" s="13">
        <v>7.0</v>
      </c>
      <c r="C165" s="13" t="s">
        <v>20</v>
      </c>
      <c r="D165" s="13" t="s">
        <v>1</v>
      </c>
      <c r="E165" s="13">
        <v>17.9</v>
      </c>
      <c r="F165" s="13">
        <v>8.48</v>
      </c>
      <c r="G165" s="13">
        <v>9.42</v>
      </c>
      <c r="H165" s="13">
        <v>1.69</v>
      </c>
    </row>
    <row r="166">
      <c r="A166" s="18" t="s">
        <v>44</v>
      </c>
      <c r="B166" s="13">
        <v>7.0</v>
      </c>
      <c r="C166" s="13" t="s">
        <v>20</v>
      </c>
      <c r="D166" s="13" t="s">
        <v>2</v>
      </c>
      <c r="E166" s="13">
        <v>6.6</v>
      </c>
      <c r="F166" s="13">
        <v>1.88</v>
      </c>
      <c r="G166" s="13">
        <v>4.72</v>
      </c>
      <c r="H166" s="13">
        <v>0.31</v>
      </c>
    </row>
    <row r="167">
      <c r="A167" s="18" t="s">
        <v>44</v>
      </c>
      <c r="B167" s="13">
        <v>7.0</v>
      </c>
      <c r="C167" s="13" t="s">
        <v>20</v>
      </c>
      <c r="D167" s="13" t="s">
        <v>3</v>
      </c>
      <c r="E167" s="13">
        <v>2.2</v>
      </c>
      <c r="F167" s="13">
        <v>0.6</v>
      </c>
      <c r="G167" s="13">
        <v>1.6</v>
      </c>
      <c r="H167" s="13">
        <v>0.04</v>
      </c>
    </row>
    <row r="168">
      <c r="A168" s="18" t="s">
        <v>44</v>
      </c>
      <c r="B168" s="13">
        <v>7.0</v>
      </c>
      <c r="C168" s="13" t="s">
        <v>20</v>
      </c>
      <c r="D168" s="13" t="s">
        <v>4</v>
      </c>
      <c r="E168" s="13">
        <v>0.7</v>
      </c>
      <c r="F168" s="13">
        <v>0.16</v>
      </c>
      <c r="G168" s="13">
        <v>0.54</v>
      </c>
      <c r="H168" s="13">
        <v>0.0</v>
      </c>
    </row>
    <row r="169">
      <c r="A169" s="18" t="s">
        <v>44</v>
      </c>
      <c r="B169" s="13">
        <v>7.0</v>
      </c>
      <c r="C169" s="13" t="s">
        <v>20</v>
      </c>
      <c r="D169" s="13" t="s">
        <v>5</v>
      </c>
      <c r="E169" s="13">
        <v>0.2</v>
      </c>
      <c r="F169" s="13">
        <v>0.06</v>
      </c>
      <c r="G169" s="13">
        <v>0.14</v>
      </c>
      <c r="H169" s="13">
        <v>0.0</v>
      </c>
    </row>
    <row r="170">
      <c r="A170" s="18" t="s">
        <v>45</v>
      </c>
      <c r="B170" s="13">
        <v>8.0</v>
      </c>
      <c r="C170" s="13" t="s">
        <v>14</v>
      </c>
      <c r="D170" s="13" t="s">
        <v>0</v>
      </c>
      <c r="E170" s="13">
        <v>61.0</v>
      </c>
      <c r="F170" s="13">
        <v>59.53</v>
      </c>
      <c r="G170" s="13">
        <v>1.47</v>
      </c>
      <c r="H170" s="13">
        <v>0.9</v>
      </c>
    </row>
    <row r="171">
      <c r="A171" s="18" t="s">
        <v>45</v>
      </c>
      <c r="B171" s="13">
        <v>8.0</v>
      </c>
      <c r="C171" s="13" t="s">
        <v>14</v>
      </c>
      <c r="D171" s="13" t="s">
        <v>1</v>
      </c>
      <c r="E171" s="13">
        <v>10.3</v>
      </c>
      <c r="F171" s="13">
        <v>3.21</v>
      </c>
      <c r="G171" s="13">
        <v>7.09</v>
      </c>
      <c r="H171" s="13">
        <v>0.73</v>
      </c>
    </row>
    <row r="172">
      <c r="A172" s="18" t="s">
        <v>45</v>
      </c>
      <c r="B172" s="13">
        <v>8.0</v>
      </c>
      <c r="C172" s="13" t="s">
        <v>14</v>
      </c>
      <c r="D172" s="13" t="s">
        <v>2</v>
      </c>
      <c r="E172" s="13">
        <v>4.7</v>
      </c>
      <c r="F172" s="13">
        <v>1.72</v>
      </c>
      <c r="G172" s="13">
        <v>2.98</v>
      </c>
      <c r="H172" s="13">
        <v>0.14</v>
      </c>
    </row>
    <row r="173">
      <c r="A173" s="18" t="s">
        <v>45</v>
      </c>
      <c r="B173" s="13">
        <v>8.0</v>
      </c>
      <c r="C173" s="13" t="s">
        <v>14</v>
      </c>
      <c r="D173" s="13" t="s">
        <v>3</v>
      </c>
      <c r="E173" s="13">
        <v>1.9</v>
      </c>
      <c r="F173" s="13">
        <v>1.03</v>
      </c>
      <c r="G173" s="13">
        <v>0.87</v>
      </c>
      <c r="H173" s="13">
        <v>0.02</v>
      </c>
    </row>
    <row r="174">
      <c r="A174" s="18" t="s">
        <v>45</v>
      </c>
      <c r="B174" s="13">
        <v>8.0</v>
      </c>
      <c r="C174" s="13" t="s">
        <v>14</v>
      </c>
      <c r="D174" s="13" t="s">
        <v>4</v>
      </c>
      <c r="E174" s="13">
        <v>0.5</v>
      </c>
      <c r="F174" s="13">
        <v>0.34</v>
      </c>
      <c r="G174" s="13">
        <v>0.16</v>
      </c>
      <c r="H174" s="13">
        <v>0.0</v>
      </c>
    </row>
    <row r="175">
      <c r="A175" s="18" t="s">
        <v>45</v>
      </c>
      <c r="B175" s="13">
        <v>8.0</v>
      </c>
      <c r="C175" s="13" t="s">
        <v>14</v>
      </c>
      <c r="D175" s="13" t="s">
        <v>5</v>
      </c>
      <c r="E175" s="13">
        <v>0.1</v>
      </c>
      <c r="F175" s="13">
        <v>0.2</v>
      </c>
      <c r="G175" s="13">
        <v>-0.1</v>
      </c>
      <c r="H175" s="13">
        <v>0.0</v>
      </c>
    </row>
    <row r="176">
      <c r="A176" s="18" t="s">
        <v>46</v>
      </c>
      <c r="B176" s="13">
        <v>8.0</v>
      </c>
      <c r="C176" s="13" t="s">
        <v>16</v>
      </c>
      <c r="D176" s="13" t="s">
        <v>0</v>
      </c>
      <c r="E176" s="13">
        <v>47.7</v>
      </c>
      <c r="F176" s="13">
        <v>54.46</v>
      </c>
      <c r="G176" s="13">
        <v>-6.76</v>
      </c>
      <c r="H176" s="13">
        <v>-3.22</v>
      </c>
    </row>
    <row r="177">
      <c r="A177" s="18" t="s">
        <v>46</v>
      </c>
      <c r="B177" s="13">
        <v>8.0</v>
      </c>
      <c r="C177" s="13" t="s">
        <v>16</v>
      </c>
      <c r="D177" s="13" t="s">
        <v>1</v>
      </c>
      <c r="E177" s="13">
        <v>6.8</v>
      </c>
      <c r="F177" s="13">
        <v>4.78</v>
      </c>
      <c r="G177" s="13">
        <v>2.02</v>
      </c>
      <c r="H177" s="13">
        <v>0.14</v>
      </c>
    </row>
    <row r="178">
      <c r="A178" s="18" t="s">
        <v>46</v>
      </c>
      <c r="B178" s="13">
        <v>8.0</v>
      </c>
      <c r="C178" s="13" t="s">
        <v>16</v>
      </c>
      <c r="D178" s="13" t="s">
        <v>2</v>
      </c>
      <c r="E178" s="13">
        <v>2.7</v>
      </c>
      <c r="F178" s="13">
        <v>2.56</v>
      </c>
      <c r="G178" s="13">
        <v>0.14</v>
      </c>
      <c r="H178" s="13">
        <v>0.0</v>
      </c>
    </row>
    <row r="179">
      <c r="A179" s="18" t="s">
        <v>46</v>
      </c>
      <c r="B179" s="13">
        <v>8.0</v>
      </c>
      <c r="C179" s="13" t="s">
        <v>16</v>
      </c>
      <c r="D179" s="13" t="s">
        <v>3</v>
      </c>
      <c r="E179" s="13">
        <v>0.8</v>
      </c>
      <c r="F179" s="13">
        <v>0.83</v>
      </c>
      <c r="G179" s="13">
        <v>-0.03</v>
      </c>
      <c r="H179" s="13">
        <v>0.0</v>
      </c>
    </row>
    <row r="180">
      <c r="A180" s="18" t="s">
        <v>46</v>
      </c>
      <c r="B180" s="13">
        <v>8.0</v>
      </c>
      <c r="C180" s="13" t="s">
        <v>16</v>
      </c>
      <c r="D180" s="13" t="s">
        <v>4</v>
      </c>
      <c r="E180" s="13">
        <v>0.2</v>
      </c>
      <c r="F180" s="13">
        <v>0.4</v>
      </c>
      <c r="G180" s="13">
        <v>-0.2</v>
      </c>
      <c r="H180" s="13">
        <v>0.0</v>
      </c>
    </row>
    <row r="181">
      <c r="A181" s="18" t="s">
        <v>46</v>
      </c>
      <c r="B181" s="13">
        <v>8.0</v>
      </c>
      <c r="C181" s="13" t="s">
        <v>16</v>
      </c>
      <c r="D181" s="13" t="s">
        <v>5</v>
      </c>
      <c r="E181" s="13">
        <v>0.05</v>
      </c>
      <c r="F181" s="13">
        <v>0.16</v>
      </c>
      <c r="G181" s="13">
        <v>-0.11</v>
      </c>
      <c r="H181" s="13">
        <v>0.0</v>
      </c>
    </row>
    <row r="182">
      <c r="A182" s="18" t="s">
        <v>47</v>
      </c>
      <c r="B182" s="13">
        <v>8.0</v>
      </c>
      <c r="C182" s="13" t="s">
        <v>18</v>
      </c>
      <c r="D182" s="13" t="s">
        <v>0</v>
      </c>
      <c r="E182" s="13">
        <v>56.0</v>
      </c>
      <c r="F182" s="13">
        <v>53.77</v>
      </c>
      <c r="G182" s="13">
        <v>2.23</v>
      </c>
      <c r="H182" s="13">
        <v>1.25</v>
      </c>
    </row>
    <row r="183">
      <c r="A183" s="18" t="s">
        <v>47</v>
      </c>
      <c r="B183" s="13">
        <v>8.0</v>
      </c>
      <c r="C183" s="13" t="s">
        <v>18</v>
      </c>
      <c r="D183" s="13" t="s">
        <v>1</v>
      </c>
      <c r="E183" s="13">
        <v>7.2</v>
      </c>
      <c r="F183" s="13">
        <v>3.57</v>
      </c>
      <c r="G183" s="13">
        <v>3.63</v>
      </c>
      <c r="H183" s="13">
        <v>0.26</v>
      </c>
    </row>
    <row r="184">
      <c r="A184" s="18" t="s">
        <v>47</v>
      </c>
      <c r="B184" s="13">
        <v>8.0</v>
      </c>
      <c r="C184" s="13" t="s">
        <v>18</v>
      </c>
      <c r="D184" s="13" t="s">
        <v>2</v>
      </c>
      <c r="E184" s="13">
        <v>2.9</v>
      </c>
      <c r="F184" s="13">
        <v>1.24</v>
      </c>
      <c r="G184" s="13">
        <v>1.66</v>
      </c>
      <c r="H184" s="13">
        <v>0.05</v>
      </c>
    </row>
    <row r="185">
      <c r="A185" s="18" t="s">
        <v>47</v>
      </c>
      <c r="B185" s="13">
        <v>8.0</v>
      </c>
      <c r="C185" s="13" t="s">
        <v>18</v>
      </c>
      <c r="D185" s="13" t="s">
        <v>3</v>
      </c>
      <c r="E185" s="13">
        <v>0.9</v>
      </c>
      <c r="F185" s="13">
        <v>0.55</v>
      </c>
      <c r="G185" s="13">
        <v>0.35</v>
      </c>
      <c r="H185" s="13">
        <v>0.0</v>
      </c>
    </row>
    <row r="186">
      <c r="A186" s="18" t="s">
        <v>47</v>
      </c>
      <c r="B186" s="13">
        <v>8.0</v>
      </c>
      <c r="C186" s="13" t="s">
        <v>18</v>
      </c>
      <c r="D186" s="13" t="s">
        <v>4</v>
      </c>
      <c r="E186" s="13">
        <v>0.2</v>
      </c>
      <c r="F186" s="13">
        <v>0.24</v>
      </c>
      <c r="G186" s="13">
        <v>-0.04</v>
      </c>
      <c r="H186" s="13">
        <v>0.0</v>
      </c>
    </row>
    <row r="187">
      <c r="A187" s="18" t="s">
        <v>47</v>
      </c>
      <c r="B187" s="13">
        <v>8.0</v>
      </c>
      <c r="C187" s="13" t="s">
        <v>18</v>
      </c>
      <c r="D187" s="13" t="s">
        <v>5</v>
      </c>
      <c r="E187" s="13">
        <v>0.03</v>
      </c>
      <c r="F187" s="13">
        <v>0.12</v>
      </c>
      <c r="G187" s="13">
        <v>-0.09</v>
      </c>
      <c r="H187" s="13">
        <v>0.0</v>
      </c>
    </row>
    <row r="188">
      <c r="A188" s="18" t="s">
        <v>48</v>
      </c>
      <c r="B188" s="13">
        <v>8.0</v>
      </c>
      <c r="C188" s="13" t="s">
        <v>20</v>
      </c>
      <c r="D188" s="13" t="s">
        <v>0</v>
      </c>
      <c r="E188" s="13">
        <v>43.0</v>
      </c>
      <c r="F188" s="13">
        <v>46.69</v>
      </c>
      <c r="G188" s="13">
        <v>-3.69</v>
      </c>
      <c r="H188" s="13">
        <v>-1.59</v>
      </c>
    </row>
    <row r="189">
      <c r="A189" s="18" t="s">
        <v>48</v>
      </c>
      <c r="B189" s="13">
        <v>8.0</v>
      </c>
      <c r="C189" s="13" t="s">
        <v>20</v>
      </c>
      <c r="D189" s="13" t="s">
        <v>1</v>
      </c>
      <c r="E189" s="13">
        <v>8.1</v>
      </c>
      <c r="F189" s="13">
        <v>3.35</v>
      </c>
      <c r="G189" s="13">
        <v>4.75</v>
      </c>
      <c r="H189" s="13">
        <v>0.38</v>
      </c>
    </row>
    <row r="190">
      <c r="A190" s="18" t="s">
        <v>48</v>
      </c>
      <c r="B190" s="13">
        <v>8.0</v>
      </c>
      <c r="C190" s="13" t="s">
        <v>20</v>
      </c>
      <c r="D190" s="13" t="s">
        <v>2</v>
      </c>
      <c r="E190" s="13">
        <v>2.8</v>
      </c>
      <c r="F190" s="13">
        <v>1.58</v>
      </c>
      <c r="G190" s="13">
        <v>1.22</v>
      </c>
      <c r="H190" s="13">
        <v>0.03</v>
      </c>
    </row>
    <row r="191">
      <c r="A191" s="18" t="s">
        <v>48</v>
      </c>
      <c r="B191" s="13">
        <v>8.0</v>
      </c>
      <c r="C191" s="13" t="s">
        <v>20</v>
      </c>
      <c r="D191" s="13" t="s">
        <v>3</v>
      </c>
      <c r="E191" s="13">
        <v>0.7</v>
      </c>
      <c r="F191" s="13">
        <v>0.57</v>
      </c>
      <c r="G191" s="13">
        <v>0.13</v>
      </c>
      <c r="H191" s="13">
        <v>0.0</v>
      </c>
    </row>
    <row r="192">
      <c r="A192" s="18" t="s">
        <v>48</v>
      </c>
      <c r="B192" s="13">
        <v>8.0</v>
      </c>
      <c r="C192" s="13" t="s">
        <v>20</v>
      </c>
      <c r="D192" s="13" t="s">
        <v>4</v>
      </c>
      <c r="E192" s="13">
        <v>0.2</v>
      </c>
      <c r="F192" s="13">
        <v>0.19</v>
      </c>
      <c r="G192" s="13">
        <v>0.01</v>
      </c>
      <c r="H192" s="13">
        <v>0.0</v>
      </c>
    </row>
    <row r="193">
      <c r="A193" s="18" t="s">
        <v>48</v>
      </c>
      <c r="B193" s="13">
        <v>8.0</v>
      </c>
      <c r="C193" s="13" t="s">
        <v>20</v>
      </c>
      <c r="D193" s="13" t="s">
        <v>5</v>
      </c>
      <c r="E193" s="13">
        <v>0.03</v>
      </c>
      <c r="F193" s="13">
        <v>0.09</v>
      </c>
      <c r="G193" s="13">
        <v>-0.06</v>
      </c>
      <c r="H193" s="13">
        <v>0.0</v>
      </c>
    </row>
    <row r="194">
      <c r="A194" s="18" t="s">
        <v>49</v>
      </c>
      <c r="B194" s="13">
        <v>9.0</v>
      </c>
      <c r="C194" s="13" t="s">
        <v>14</v>
      </c>
      <c r="D194" s="13" t="s">
        <v>0</v>
      </c>
      <c r="E194" s="13">
        <v>39.0</v>
      </c>
      <c r="F194" s="13">
        <v>38.35</v>
      </c>
      <c r="G194" s="13">
        <v>0.65</v>
      </c>
      <c r="H194" s="13">
        <v>0.25</v>
      </c>
    </row>
    <row r="195">
      <c r="A195" s="18" t="s">
        <v>49</v>
      </c>
      <c r="B195" s="13">
        <v>9.0</v>
      </c>
      <c r="C195" s="13" t="s">
        <v>14</v>
      </c>
      <c r="D195" s="13" t="s">
        <v>1</v>
      </c>
      <c r="E195" s="13">
        <v>4.3</v>
      </c>
      <c r="F195" s="13">
        <v>1.59</v>
      </c>
      <c r="G195" s="13">
        <v>2.71</v>
      </c>
      <c r="H195" s="13">
        <v>0.12</v>
      </c>
    </row>
    <row r="196">
      <c r="A196" s="18" t="s">
        <v>49</v>
      </c>
      <c r="B196" s="13">
        <v>9.0</v>
      </c>
      <c r="C196" s="13" t="s">
        <v>14</v>
      </c>
      <c r="D196" s="13" t="s">
        <v>2</v>
      </c>
      <c r="E196" s="13">
        <v>1.5</v>
      </c>
      <c r="F196" s="13">
        <v>0.62</v>
      </c>
      <c r="G196" s="13">
        <v>0.88</v>
      </c>
      <c r="H196" s="13">
        <v>0.01</v>
      </c>
    </row>
    <row r="197">
      <c r="A197" s="18" t="s">
        <v>49</v>
      </c>
      <c r="B197" s="13">
        <v>9.0</v>
      </c>
      <c r="C197" s="13" t="s">
        <v>14</v>
      </c>
      <c r="D197" s="13" t="s">
        <v>3</v>
      </c>
      <c r="E197" s="13">
        <v>0.5</v>
      </c>
      <c r="F197" s="13">
        <v>0.29</v>
      </c>
      <c r="G197" s="13">
        <v>0.21</v>
      </c>
      <c r="H197" s="13">
        <v>0.0</v>
      </c>
    </row>
    <row r="198">
      <c r="A198" s="18" t="s">
        <v>49</v>
      </c>
      <c r="B198" s="13">
        <v>9.0</v>
      </c>
      <c r="C198" s="13" t="s">
        <v>14</v>
      </c>
      <c r="D198" s="13" t="s">
        <v>4</v>
      </c>
      <c r="E198" s="13">
        <v>0.08</v>
      </c>
      <c r="F198" s="13">
        <v>0.12</v>
      </c>
      <c r="G198" s="13">
        <v>-0.04</v>
      </c>
      <c r="H198" s="13">
        <v>0.0</v>
      </c>
    </row>
    <row r="199">
      <c r="A199" s="18" t="s">
        <v>49</v>
      </c>
      <c r="B199" s="13">
        <v>9.0</v>
      </c>
      <c r="C199" s="13" t="s">
        <v>14</v>
      </c>
      <c r="D199" s="13" t="s">
        <v>5</v>
      </c>
      <c r="E199" s="13">
        <v>0.01</v>
      </c>
      <c r="F199" s="13">
        <v>0.06</v>
      </c>
      <c r="G199" s="13">
        <v>-0.05</v>
      </c>
      <c r="H199" s="13">
        <v>0.0</v>
      </c>
    </row>
    <row r="200">
      <c r="A200" s="18" t="s">
        <v>50</v>
      </c>
      <c r="B200" s="13">
        <v>9.0</v>
      </c>
      <c r="C200" s="13" t="s">
        <v>16</v>
      </c>
      <c r="D200" s="13" t="s">
        <v>0</v>
      </c>
      <c r="E200" s="13">
        <v>52.3</v>
      </c>
      <c r="F200" s="13">
        <v>40.59</v>
      </c>
      <c r="G200" s="13">
        <v>11.71</v>
      </c>
      <c r="H200" s="13">
        <v>6.12</v>
      </c>
    </row>
    <row r="201">
      <c r="A201" s="18" t="s">
        <v>50</v>
      </c>
      <c r="B201" s="13">
        <v>9.0</v>
      </c>
      <c r="C201" s="13" t="s">
        <v>16</v>
      </c>
      <c r="D201" s="13" t="s">
        <v>1</v>
      </c>
      <c r="E201" s="13">
        <v>7.5</v>
      </c>
      <c r="F201" s="13">
        <v>1.73</v>
      </c>
      <c r="G201" s="13">
        <v>5.77</v>
      </c>
      <c r="H201" s="13">
        <v>0.43</v>
      </c>
    </row>
    <row r="202">
      <c r="A202" s="18" t="s">
        <v>50</v>
      </c>
      <c r="B202" s="13">
        <v>9.0</v>
      </c>
      <c r="C202" s="13" t="s">
        <v>16</v>
      </c>
      <c r="D202" s="13" t="s">
        <v>2</v>
      </c>
      <c r="E202" s="13">
        <v>3.1</v>
      </c>
      <c r="F202" s="13">
        <v>0.67</v>
      </c>
      <c r="G202" s="13">
        <v>2.43</v>
      </c>
      <c r="H202" s="13">
        <v>0.08</v>
      </c>
    </row>
    <row r="203">
      <c r="A203" s="18" t="s">
        <v>50</v>
      </c>
      <c r="B203" s="13">
        <v>9.0</v>
      </c>
      <c r="C203" s="13" t="s">
        <v>16</v>
      </c>
      <c r="D203" s="13" t="s">
        <v>3</v>
      </c>
      <c r="E203" s="13">
        <v>1.0</v>
      </c>
      <c r="F203" s="13">
        <v>0.26</v>
      </c>
      <c r="G203" s="13">
        <v>0.74</v>
      </c>
      <c r="H203" s="13">
        <v>0.01</v>
      </c>
    </row>
    <row r="204">
      <c r="A204" s="18" t="s">
        <v>50</v>
      </c>
      <c r="B204" s="13">
        <v>9.0</v>
      </c>
      <c r="C204" s="13" t="s">
        <v>16</v>
      </c>
      <c r="D204" s="13" t="s">
        <v>4</v>
      </c>
      <c r="E204" s="13">
        <v>0.3</v>
      </c>
      <c r="F204" s="13">
        <v>0.12</v>
      </c>
      <c r="G204" s="13">
        <v>0.18</v>
      </c>
      <c r="H204" s="13">
        <v>0.0</v>
      </c>
    </row>
    <row r="205">
      <c r="A205" s="18" t="s">
        <v>50</v>
      </c>
      <c r="B205" s="13">
        <v>9.0</v>
      </c>
      <c r="C205" s="13" t="s">
        <v>16</v>
      </c>
      <c r="D205" s="13" t="s">
        <v>5</v>
      </c>
      <c r="E205" s="13">
        <v>0.06</v>
      </c>
      <c r="F205" s="13">
        <v>0.06</v>
      </c>
      <c r="G205" s="13">
        <v>0.0</v>
      </c>
      <c r="H205" s="13">
        <v>0.0</v>
      </c>
    </row>
    <row r="206">
      <c r="A206" s="18" t="s">
        <v>51</v>
      </c>
      <c r="B206" s="13">
        <v>9.0</v>
      </c>
      <c r="C206" s="13" t="s">
        <v>18</v>
      </c>
      <c r="D206" s="13" t="s">
        <v>0</v>
      </c>
      <c r="E206" s="13">
        <v>44.0</v>
      </c>
      <c r="F206" s="13">
        <v>40.57</v>
      </c>
      <c r="G206" s="13">
        <v>3.43</v>
      </c>
      <c r="H206" s="13">
        <v>1.51</v>
      </c>
    </row>
    <row r="207">
      <c r="A207" s="18" t="s">
        <v>51</v>
      </c>
      <c r="B207" s="13">
        <v>9.0</v>
      </c>
      <c r="C207" s="13" t="s">
        <v>18</v>
      </c>
      <c r="D207" s="13" t="s">
        <v>1</v>
      </c>
      <c r="E207" s="13">
        <v>4.5</v>
      </c>
      <c r="F207" s="13">
        <v>2.19</v>
      </c>
      <c r="G207" s="13">
        <v>2.31</v>
      </c>
      <c r="H207" s="13">
        <v>0.1</v>
      </c>
    </row>
    <row r="208">
      <c r="A208" s="18" t="s">
        <v>51</v>
      </c>
      <c r="B208" s="13">
        <v>9.0</v>
      </c>
      <c r="C208" s="13" t="s">
        <v>18</v>
      </c>
      <c r="D208" s="13" t="s">
        <v>2</v>
      </c>
      <c r="E208" s="13">
        <v>1.6</v>
      </c>
      <c r="F208" s="13">
        <v>0.98</v>
      </c>
      <c r="G208" s="13">
        <v>0.62</v>
      </c>
      <c r="H208" s="13">
        <v>0.01</v>
      </c>
    </row>
    <row r="209">
      <c r="A209" s="18" t="s">
        <v>51</v>
      </c>
      <c r="B209" s="13">
        <v>9.0</v>
      </c>
      <c r="C209" s="13" t="s">
        <v>18</v>
      </c>
      <c r="D209" s="13" t="s">
        <v>3</v>
      </c>
      <c r="E209" s="13">
        <v>0.4</v>
      </c>
      <c r="F209" s="13">
        <v>0.41</v>
      </c>
      <c r="G209" s="13">
        <v>-0.01</v>
      </c>
      <c r="H209" s="13">
        <v>0.0</v>
      </c>
    </row>
    <row r="210">
      <c r="A210" s="18" t="s">
        <v>51</v>
      </c>
      <c r="B210" s="13">
        <v>9.0</v>
      </c>
      <c r="C210" s="13" t="s">
        <v>18</v>
      </c>
      <c r="D210" s="13" t="s">
        <v>4</v>
      </c>
      <c r="E210" s="13">
        <v>0.09</v>
      </c>
      <c r="F210" s="13">
        <v>0.16</v>
      </c>
      <c r="G210" s="13">
        <v>-0.07</v>
      </c>
      <c r="H210" s="13">
        <v>0.0</v>
      </c>
    </row>
    <row r="211">
      <c r="A211" s="18" t="s">
        <v>51</v>
      </c>
      <c r="B211" s="13">
        <v>9.0</v>
      </c>
      <c r="C211" s="13" t="s">
        <v>18</v>
      </c>
      <c r="D211" s="13" t="s">
        <v>5</v>
      </c>
      <c r="E211" s="13">
        <v>0.02</v>
      </c>
      <c r="F211" s="13">
        <v>0.08</v>
      </c>
      <c r="G211" s="13">
        <v>-0.06</v>
      </c>
      <c r="H211" s="13">
        <v>0.0</v>
      </c>
    </row>
    <row r="212">
      <c r="A212" s="18" t="s">
        <v>52</v>
      </c>
      <c r="B212" s="13">
        <v>9.0</v>
      </c>
      <c r="C212" s="13" t="s">
        <v>20</v>
      </c>
      <c r="D212" s="13" t="s">
        <v>0</v>
      </c>
      <c r="E212" s="13">
        <v>57.0</v>
      </c>
      <c r="F212" s="13">
        <v>48.94</v>
      </c>
      <c r="G212" s="13">
        <v>8.06</v>
      </c>
      <c r="H212" s="13">
        <v>4.59</v>
      </c>
    </row>
    <row r="213">
      <c r="A213" s="18" t="s">
        <v>52</v>
      </c>
      <c r="B213" s="13">
        <v>9.0</v>
      </c>
      <c r="C213" s="13" t="s">
        <v>20</v>
      </c>
      <c r="D213" s="13" t="s">
        <v>1</v>
      </c>
      <c r="E213" s="13">
        <v>14.0</v>
      </c>
      <c r="F213" s="13">
        <v>4.86</v>
      </c>
      <c r="G213" s="13">
        <v>9.14</v>
      </c>
      <c r="H213" s="13">
        <v>1.28</v>
      </c>
    </row>
    <row r="214">
      <c r="A214" s="18" t="s">
        <v>52</v>
      </c>
      <c r="B214" s="13">
        <v>9.0</v>
      </c>
      <c r="C214" s="13" t="s">
        <v>20</v>
      </c>
      <c r="D214" s="13" t="s">
        <v>2</v>
      </c>
      <c r="E214" s="13">
        <v>5.8</v>
      </c>
      <c r="F214" s="13">
        <v>2.8</v>
      </c>
      <c r="G214" s="13">
        <v>3.0</v>
      </c>
      <c r="H214" s="13">
        <v>0.17</v>
      </c>
    </row>
    <row r="215">
      <c r="A215" s="18" t="s">
        <v>52</v>
      </c>
      <c r="B215" s="13">
        <v>9.0</v>
      </c>
      <c r="C215" s="13" t="s">
        <v>20</v>
      </c>
      <c r="D215" s="13" t="s">
        <v>3</v>
      </c>
      <c r="E215" s="13">
        <v>1.8</v>
      </c>
      <c r="F215" s="13">
        <v>0.49</v>
      </c>
      <c r="G215" s="13">
        <v>1.31</v>
      </c>
      <c r="H215" s="13">
        <v>0.02</v>
      </c>
    </row>
    <row r="216">
      <c r="A216" s="18" t="s">
        <v>52</v>
      </c>
      <c r="B216" s="13">
        <v>9.0</v>
      </c>
      <c r="C216" s="13" t="s">
        <v>20</v>
      </c>
      <c r="D216" s="13" t="s">
        <v>4</v>
      </c>
      <c r="E216" s="13">
        <v>0.5</v>
      </c>
      <c r="F216" s="13">
        <v>0.18</v>
      </c>
      <c r="G216" s="13">
        <v>0.32</v>
      </c>
      <c r="H216" s="13">
        <v>0.0</v>
      </c>
    </row>
    <row r="217">
      <c r="A217" s="18" t="s">
        <v>52</v>
      </c>
      <c r="B217" s="13">
        <v>9.0</v>
      </c>
      <c r="C217" s="13" t="s">
        <v>20</v>
      </c>
      <c r="D217" s="13" t="s">
        <v>5</v>
      </c>
      <c r="E217" s="13">
        <v>0.1</v>
      </c>
      <c r="F217" s="13">
        <v>0.09</v>
      </c>
      <c r="G217" s="13">
        <v>0.01</v>
      </c>
      <c r="H217" s="13">
        <v>0.0</v>
      </c>
    </row>
    <row r="218">
      <c r="A218" s="18" t="s">
        <v>53</v>
      </c>
      <c r="B218" s="13">
        <v>10.0</v>
      </c>
      <c r="C218" s="13" t="s">
        <v>14</v>
      </c>
      <c r="D218" s="13" t="s">
        <v>0</v>
      </c>
      <c r="E218" s="13">
        <v>34.2</v>
      </c>
      <c r="F218" s="13">
        <v>30.52</v>
      </c>
      <c r="G218" s="13">
        <v>3.68</v>
      </c>
      <c r="H218" s="13">
        <v>1.26</v>
      </c>
    </row>
    <row r="219">
      <c r="A219" s="18" t="s">
        <v>53</v>
      </c>
      <c r="B219" s="13">
        <v>10.0</v>
      </c>
      <c r="C219" s="13" t="s">
        <v>14</v>
      </c>
      <c r="D219" s="13" t="s">
        <v>1</v>
      </c>
      <c r="E219" s="13">
        <v>8.4</v>
      </c>
      <c r="F219" s="13">
        <v>2.95</v>
      </c>
      <c r="G219" s="13">
        <v>5.45</v>
      </c>
      <c r="H219" s="13">
        <v>0.46</v>
      </c>
    </row>
    <row r="220">
      <c r="A220" s="18" t="s">
        <v>53</v>
      </c>
      <c r="B220" s="13">
        <v>10.0</v>
      </c>
      <c r="C220" s="13" t="s">
        <v>14</v>
      </c>
      <c r="D220" s="13" t="s">
        <v>2</v>
      </c>
      <c r="E220" s="13">
        <v>2.1</v>
      </c>
      <c r="F220" s="13">
        <v>0.8</v>
      </c>
      <c r="G220" s="13">
        <v>1.3</v>
      </c>
      <c r="H220" s="13">
        <v>0.03</v>
      </c>
    </row>
    <row r="221">
      <c r="A221" s="18" t="s">
        <v>53</v>
      </c>
      <c r="B221" s="13">
        <v>10.0</v>
      </c>
      <c r="C221" s="13" t="s">
        <v>14</v>
      </c>
      <c r="D221" s="13" t="s">
        <v>3</v>
      </c>
      <c r="E221" s="13">
        <v>0.3</v>
      </c>
      <c r="F221" s="13">
        <v>0.21</v>
      </c>
      <c r="G221" s="13">
        <v>0.09</v>
      </c>
      <c r="H221" s="13">
        <v>0.0</v>
      </c>
    </row>
    <row r="222">
      <c r="A222" s="18" t="s">
        <v>53</v>
      </c>
      <c r="B222" s="13">
        <v>10.0</v>
      </c>
      <c r="C222" s="13" t="s">
        <v>14</v>
      </c>
      <c r="D222" s="13" t="s">
        <v>4</v>
      </c>
      <c r="E222" s="13">
        <v>0.03</v>
      </c>
      <c r="F222" s="13">
        <v>0.1</v>
      </c>
      <c r="G222" s="13">
        <v>-0.07</v>
      </c>
      <c r="H222" s="13">
        <v>0.0</v>
      </c>
    </row>
    <row r="223">
      <c r="A223" s="18" t="s">
        <v>53</v>
      </c>
      <c r="B223" s="13">
        <v>10.0</v>
      </c>
      <c r="C223" s="13" t="s">
        <v>14</v>
      </c>
      <c r="D223" s="13" t="s">
        <v>5</v>
      </c>
      <c r="E223" s="13">
        <v>0.001</v>
      </c>
      <c r="F223" s="13">
        <v>0.05</v>
      </c>
      <c r="G223" s="13">
        <v>-0.049</v>
      </c>
      <c r="H223" s="13">
        <v>0.0</v>
      </c>
    </row>
    <row r="224">
      <c r="A224" s="18" t="s">
        <v>54</v>
      </c>
      <c r="B224" s="13">
        <v>10.0</v>
      </c>
      <c r="C224" s="13" t="s">
        <v>16</v>
      </c>
      <c r="D224" s="13" t="s">
        <v>0</v>
      </c>
      <c r="E224" s="13">
        <v>37.3</v>
      </c>
      <c r="F224" s="13">
        <v>34.14</v>
      </c>
      <c r="G224" s="13">
        <v>3.16</v>
      </c>
      <c r="H224" s="13">
        <v>1.18</v>
      </c>
    </row>
    <row r="225">
      <c r="A225" s="18" t="s">
        <v>54</v>
      </c>
      <c r="B225" s="13">
        <v>10.0</v>
      </c>
      <c r="C225" s="13" t="s">
        <v>16</v>
      </c>
      <c r="D225" s="13" t="s">
        <v>1</v>
      </c>
      <c r="E225" s="13">
        <v>7.3</v>
      </c>
      <c r="F225" s="13">
        <v>4.1</v>
      </c>
      <c r="G225" s="13">
        <v>3.2</v>
      </c>
      <c r="H225" s="13">
        <v>0.23</v>
      </c>
    </row>
    <row r="226">
      <c r="A226" s="18" t="s">
        <v>54</v>
      </c>
      <c r="B226" s="13">
        <v>10.0</v>
      </c>
      <c r="C226" s="13" t="s">
        <v>16</v>
      </c>
      <c r="D226" s="13" t="s">
        <v>2</v>
      </c>
      <c r="E226" s="13">
        <v>1.9</v>
      </c>
      <c r="F226" s="13">
        <v>1.1</v>
      </c>
      <c r="G226" s="13">
        <v>0.8</v>
      </c>
      <c r="H226" s="13">
        <v>0.02</v>
      </c>
    </row>
    <row r="227">
      <c r="A227" s="18" t="s">
        <v>54</v>
      </c>
      <c r="B227" s="13">
        <v>10.0</v>
      </c>
      <c r="C227" s="13" t="s">
        <v>16</v>
      </c>
      <c r="D227" s="13" t="s">
        <v>3</v>
      </c>
      <c r="E227" s="13">
        <v>0.3</v>
      </c>
      <c r="F227" s="13">
        <v>0.31</v>
      </c>
      <c r="G227" s="13">
        <v>-0.01</v>
      </c>
      <c r="H227" s="13">
        <v>0.0</v>
      </c>
    </row>
    <row r="228">
      <c r="A228" s="18" t="s">
        <v>54</v>
      </c>
      <c r="B228" s="13">
        <v>10.0</v>
      </c>
      <c r="C228" s="13" t="s">
        <v>16</v>
      </c>
      <c r="D228" s="13" t="s">
        <v>4</v>
      </c>
      <c r="E228" s="13">
        <v>0.05</v>
      </c>
      <c r="F228" s="13">
        <v>0.13</v>
      </c>
      <c r="G228" s="13">
        <v>-0.08</v>
      </c>
      <c r="H228" s="13">
        <v>0.0</v>
      </c>
    </row>
    <row r="229">
      <c r="A229" s="18" t="s">
        <v>54</v>
      </c>
      <c r="B229" s="13">
        <v>10.0</v>
      </c>
      <c r="C229" s="13" t="s">
        <v>16</v>
      </c>
      <c r="D229" s="13" t="s">
        <v>5</v>
      </c>
      <c r="E229" s="13">
        <v>0.003</v>
      </c>
      <c r="F229" s="13">
        <v>0.07</v>
      </c>
      <c r="G229" s="13">
        <v>-0.067</v>
      </c>
      <c r="H229" s="13">
        <v>0.0</v>
      </c>
    </row>
    <row r="230">
      <c r="A230" s="18" t="s">
        <v>55</v>
      </c>
      <c r="B230" s="13">
        <v>10.0</v>
      </c>
      <c r="C230" s="13" t="s">
        <v>18</v>
      </c>
      <c r="D230" s="13" t="s">
        <v>0</v>
      </c>
      <c r="E230" s="13">
        <v>44.5</v>
      </c>
      <c r="F230" s="13">
        <v>28.84</v>
      </c>
      <c r="G230" s="13">
        <v>15.66</v>
      </c>
      <c r="H230" s="13">
        <v>6.97</v>
      </c>
    </row>
    <row r="231">
      <c r="A231" s="18" t="s">
        <v>55</v>
      </c>
      <c r="B231" s="13">
        <v>10.0</v>
      </c>
      <c r="C231" s="13" t="s">
        <v>18</v>
      </c>
      <c r="D231" s="13" t="s">
        <v>1</v>
      </c>
      <c r="E231" s="13">
        <v>10.0</v>
      </c>
      <c r="F231" s="13">
        <v>4.02</v>
      </c>
      <c r="G231" s="13">
        <v>5.98</v>
      </c>
      <c r="H231" s="13">
        <v>0.6</v>
      </c>
    </row>
    <row r="232">
      <c r="A232" s="18" t="s">
        <v>55</v>
      </c>
      <c r="B232" s="13">
        <v>10.0</v>
      </c>
      <c r="C232" s="13" t="s">
        <v>18</v>
      </c>
      <c r="D232" s="13" t="s">
        <v>2</v>
      </c>
      <c r="E232" s="13">
        <v>3.5</v>
      </c>
      <c r="F232" s="13">
        <v>1.11</v>
      </c>
      <c r="G232" s="13">
        <v>2.39</v>
      </c>
      <c r="H232" s="13">
        <v>0.08</v>
      </c>
    </row>
    <row r="233">
      <c r="A233" s="18" t="s">
        <v>55</v>
      </c>
      <c r="B233" s="13">
        <v>10.0</v>
      </c>
      <c r="C233" s="13" t="s">
        <v>18</v>
      </c>
      <c r="D233" s="13" t="s">
        <v>3</v>
      </c>
      <c r="E233" s="13">
        <v>0.7</v>
      </c>
      <c r="F233" s="13">
        <v>0.29</v>
      </c>
      <c r="G233" s="13">
        <v>0.41</v>
      </c>
      <c r="H233" s="13">
        <v>0.0</v>
      </c>
    </row>
    <row r="234">
      <c r="A234" s="18" t="s">
        <v>55</v>
      </c>
      <c r="B234" s="13">
        <v>10.0</v>
      </c>
      <c r="C234" s="13" t="s">
        <v>18</v>
      </c>
      <c r="D234" s="13" t="s">
        <v>4</v>
      </c>
      <c r="E234" s="13">
        <v>0.2</v>
      </c>
      <c r="F234" s="13">
        <v>0.1</v>
      </c>
      <c r="G234" s="13">
        <v>0.1</v>
      </c>
      <c r="H234" s="13">
        <v>0.0</v>
      </c>
    </row>
    <row r="235">
      <c r="A235" s="18" t="s">
        <v>55</v>
      </c>
      <c r="B235" s="13">
        <v>10.0</v>
      </c>
      <c r="C235" s="13" t="s">
        <v>18</v>
      </c>
      <c r="D235" s="13" t="s">
        <v>5</v>
      </c>
      <c r="E235" s="13">
        <v>0.03</v>
      </c>
      <c r="F235" s="13">
        <v>0.05</v>
      </c>
      <c r="G235" s="13">
        <v>-0.02</v>
      </c>
      <c r="H235" s="13">
        <v>0.0</v>
      </c>
    </row>
    <row r="236">
      <c r="A236" s="18" t="s">
        <v>56</v>
      </c>
      <c r="B236" s="13">
        <v>10.0</v>
      </c>
      <c r="C236" s="13" t="s">
        <v>20</v>
      </c>
      <c r="D236" s="13" t="s">
        <v>0</v>
      </c>
      <c r="E236" s="13">
        <v>39.6</v>
      </c>
      <c r="F236" s="13">
        <v>44.54</v>
      </c>
      <c r="G236" s="13">
        <v>-4.94</v>
      </c>
      <c r="H236" s="13">
        <v>-1.96</v>
      </c>
    </row>
    <row r="237">
      <c r="A237" s="18" t="s">
        <v>56</v>
      </c>
      <c r="B237" s="13">
        <v>10.0</v>
      </c>
      <c r="C237" s="13" t="s">
        <v>20</v>
      </c>
      <c r="D237" s="13" t="s">
        <v>1</v>
      </c>
      <c r="E237" s="13">
        <v>8.2</v>
      </c>
      <c r="F237" s="13">
        <v>6.05</v>
      </c>
      <c r="G237" s="13">
        <v>2.15</v>
      </c>
      <c r="H237" s="13">
        <v>0.18</v>
      </c>
    </row>
    <row r="238">
      <c r="A238" s="18" t="s">
        <v>56</v>
      </c>
      <c r="B238" s="13">
        <v>10.0</v>
      </c>
      <c r="C238" s="13" t="s">
        <v>20</v>
      </c>
      <c r="D238" s="13" t="s">
        <v>2</v>
      </c>
      <c r="E238" s="13">
        <v>2.3</v>
      </c>
      <c r="F238" s="13">
        <v>1.43</v>
      </c>
      <c r="G238" s="13">
        <v>0.87</v>
      </c>
      <c r="H238" s="13">
        <v>0.02</v>
      </c>
    </row>
    <row r="239">
      <c r="A239" s="18" t="s">
        <v>56</v>
      </c>
      <c r="B239" s="13">
        <v>10.0</v>
      </c>
      <c r="C239" s="13" t="s">
        <v>20</v>
      </c>
      <c r="D239" s="13" t="s">
        <v>3</v>
      </c>
      <c r="E239" s="13">
        <v>0.6</v>
      </c>
      <c r="F239" s="13">
        <v>0.51</v>
      </c>
      <c r="G239" s="13">
        <v>0.09</v>
      </c>
      <c r="H239" s="13">
        <v>0.0</v>
      </c>
    </row>
    <row r="240">
      <c r="A240" s="18" t="s">
        <v>56</v>
      </c>
      <c r="B240" s="13">
        <v>10.0</v>
      </c>
      <c r="C240" s="13" t="s">
        <v>20</v>
      </c>
      <c r="D240" s="13" t="s">
        <v>4</v>
      </c>
      <c r="E240" s="13">
        <v>0.1</v>
      </c>
      <c r="F240" s="13">
        <v>0.21</v>
      </c>
      <c r="G240" s="13">
        <v>-0.11</v>
      </c>
      <c r="H240" s="13">
        <v>0.0</v>
      </c>
    </row>
    <row r="241">
      <c r="A241" s="18" t="s">
        <v>56</v>
      </c>
      <c r="B241" s="13">
        <v>10.0</v>
      </c>
      <c r="C241" s="13" t="s">
        <v>20</v>
      </c>
      <c r="D241" s="13" t="s">
        <v>5</v>
      </c>
      <c r="E241" s="13">
        <v>0.02</v>
      </c>
      <c r="F241" s="13">
        <v>0.09</v>
      </c>
      <c r="G241" s="13">
        <v>-0.07</v>
      </c>
      <c r="H241" s="13">
        <v>0.0</v>
      </c>
    </row>
    <row r="242">
      <c r="A242" s="18" t="s">
        <v>57</v>
      </c>
      <c r="B242" s="13">
        <v>11.0</v>
      </c>
      <c r="C242" s="13" t="s">
        <v>14</v>
      </c>
      <c r="D242" s="13" t="s">
        <v>0</v>
      </c>
      <c r="E242" s="13">
        <v>27.7</v>
      </c>
      <c r="F242" s="13">
        <v>32.58</v>
      </c>
      <c r="G242" s="13">
        <v>-4.88</v>
      </c>
      <c r="H242" s="13">
        <v>-1.35</v>
      </c>
    </row>
    <row r="243">
      <c r="A243" s="18" t="s">
        <v>57</v>
      </c>
      <c r="B243" s="13">
        <v>11.0</v>
      </c>
      <c r="C243" s="13" t="s">
        <v>14</v>
      </c>
      <c r="D243" s="13" t="s">
        <v>1</v>
      </c>
      <c r="E243" s="13">
        <v>7.4</v>
      </c>
      <c r="F243" s="13">
        <v>5.88</v>
      </c>
      <c r="G243" s="13">
        <v>1.52</v>
      </c>
      <c r="H243" s="13">
        <v>0.11</v>
      </c>
    </row>
    <row r="244">
      <c r="A244" s="18" t="s">
        <v>57</v>
      </c>
      <c r="B244" s="13">
        <v>11.0</v>
      </c>
      <c r="C244" s="13" t="s">
        <v>14</v>
      </c>
      <c r="D244" s="13" t="s">
        <v>2</v>
      </c>
      <c r="E244" s="13">
        <v>2.2</v>
      </c>
      <c r="F244" s="13">
        <v>1.16</v>
      </c>
      <c r="G244" s="13">
        <v>1.04</v>
      </c>
      <c r="H244" s="13">
        <v>0.02</v>
      </c>
    </row>
    <row r="245">
      <c r="A245" s="18" t="s">
        <v>57</v>
      </c>
      <c r="B245" s="13">
        <v>11.0</v>
      </c>
      <c r="C245" s="13" t="s">
        <v>14</v>
      </c>
      <c r="D245" s="13" t="s">
        <v>3</v>
      </c>
      <c r="E245" s="13">
        <v>0.3</v>
      </c>
      <c r="F245" s="13">
        <v>0.3</v>
      </c>
      <c r="G245" s="13">
        <v>0.0</v>
      </c>
      <c r="H245" s="13">
        <v>0.0</v>
      </c>
    </row>
    <row r="246">
      <c r="A246" s="18" t="s">
        <v>57</v>
      </c>
      <c r="B246" s="13">
        <v>11.0</v>
      </c>
      <c r="C246" s="13" t="s">
        <v>14</v>
      </c>
      <c r="D246" s="13" t="s">
        <v>4</v>
      </c>
      <c r="E246" s="13">
        <v>0.05</v>
      </c>
      <c r="F246" s="13">
        <v>0.12</v>
      </c>
      <c r="G246" s="13">
        <v>-0.07</v>
      </c>
      <c r="H246" s="13">
        <v>0.0</v>
      </c>
    </row>
    <row r="247">
      <c r="A247" s="18" t="s">
        <v>57</v>
      </c>
      <c r="B247" s="13">
        <v>11.0</v>
      </c>
      <c r="C247" s="13" t="s">
        <v>14</v>
      </c>
      <c r="D247" s="13" t="s">
        <v>5</v>
      </c>
      <c r="E247" s="13">
        <v>0.006</v>
      </c>
      <c r="F247" s="13">
        <v>0.06</v>
      </c>
      <c r="G247" s="13">
        <v>-0.054</v>
      </c>
      <c r="H247" s="13">
        <v>0.0</v>
      </c>
    </row>
    <row r="248">
      <c r="A248" s="18" t="s">
        <v>58</v>
      </c>
      <c r="B248" s="13">
        <v>11.0</v>
      </c>
      <c r="C248" s="13" t="s">
        <v>16</v>
      </c>
      <c r="D248" s="13" t="s">
        <v>0</v>
      </c>
      <c r="E248" s="13">
        <v>20.0</v>
      </c>
      <c r="F248" s="13">
        <v>15.28</v>
      </c>
      <c r="G248" s="13">
        <v>4.72</v>
      </c>
      <c r="H248" s="13">
        <v>0.94</v>
      </c>
    </row>
    <row r="249">
      <c r="A249" s="18" t="s">
        <v>58</v>
      </c>
      <c r="B249" s="13">
        <v>11.0</v>
      </c>
      <c r="C249" s="13" t="s">
        <v>16</v>
      </c>
      <c r="D249" s="13" t="s">
        <v>1</v>
      </c>
      <c r="E249" s="13">
        <v>6.3</v>
      </c>
      <c r="F249" s="13">
        <v>2.71</v>
      </c>
      <c r="G249" s="13">
        <v>3.59</v>
      </c>
      <c r="H249" s="13">
        <v>0.23</v>
      </c>
    </row>
    <row r="250">
      <c r="A250" s="18" t="s">
        <v>58</v>
      </c>
      <c r="B250" s="13">
        <v>11.0</v>
      </c>
      <c r="C250" s="13" t="s">
        <v>16</v>
      </c>
      <c r="D250" s="13" t="s">
        <v>2</v>
      </c>
      <c r="E250" s="13">
        <v>1.9</v>
      </c>
      <c r="F250" s="13">
        <v>0.62</v>
      </c>
      <c r="G250" s="13">
        <v>1.28</v>
      </c>
      <c r="H250" s="13">
        <v>0.02</v>
      </c>
    </row>
    <row r="251">
      <c r="A251" s="18" t="s">
        <v>58</v>
      </c>
      <c r="B251" s="13">
        <v>11.0</v>
      </c>
      <c r="C251" s="13" t="s">
        <v>16</v>
      </c>
      <c r="D251" s="13" t="s">
        <v>3</v>
      </c>
      <c r="E251" s="13">
        <v>0.4</v>
      </c>
      <c r="F251" s="13">
        <v>0.22</v>
      </c>
      <c r="G251" s="13">
        <v>0.18</v>
      </c>
      <c r="H251" s="13">
        <v>0.0</v>
      </c>
    </row>
    <row r="252">
      <c r="A252" s="18" t="s">
        <v>58</v>
      </c>
      <c r="B252" s="13">
        <v>11.0</v>
      </c>
      <c r="C252" s="13" t="s">
        <v>16</v>
      </c>
      <c r="D252" s="13" t="s">
        <v>4</v>
      </c>
      <c r="E252" s="13">
        <v>0.1</v>
      </c>
      <c r="F252" s="13">
        <v>0.1</v>
      </c>
      <c r="G252" s="13">
        <v>0.0</v>
      </c>
      <c r="H252" s="13">
        <v>0.0</v>
      </c>
    </row>
    <row r="253">
      <c r="A253" s="18" t="s">
        <v>58</v>
      </c>
      <c r="B253" s="13">
        <v>11.0</v>
      </c>
      <c r="C253" s="13" t="s">
        <v>16</v>
      </c>
      <c r="D253" s="13" t="s">
        <v>5</v>
      </c>
      <c r="E253" s="13">
        <v>0.02</v>
      </c>
      <c r="F253" s="13">
        <v>0.05</v>
      </c>
      <c r="G253" s="13">
        <v>-0.03</v>
      </c>
      <c r="H253" s="13">
        <v>0.0</v>
      </c>
    </row>
    <row r="254">
      <c r="A254" s="18" t="s">
        <v>59</v>
      </c>
      <c r="B254" s="13">
        <v>11.0</v>
      </c>
      <c r="C254" s="13" t="s">
        <v>18</v>
      </c>
      <c r="D254" s="13" t="s">
        <v>0</v>
      </c>
      <c r="E254" s="13">
        <v>23.2</v>
      </c>
      <c r="F254" s="13">
        <v>11.77</v>
      </c>
      <c r="G254" s="13">
        <v>11.43</v>
      </c>
      <c r="H254" s="13">
        <v>2.65</v>
      </c>
    </row>
    <row r="255">
      <c r="A255" s="18" t="s">
        <v>59</v>
      </c>
      <c r="B255" s="13">
        <v>11.0</v>
      </c>
      <c r="C255" s="13" t="s">
        <v>18</v>
      </c>
      <c r="D255" s="13" t="s">
        <v>1</v>
      </c>
      <c r="E255" s="13">
        <v>7.9</v>
      </c>
      <c r="F255" s="13">
        <v>2.79</v>
      </c>
      <c r="G255" s="13">
        <v>5.11</v>
      </c>
      <c r="H255" s="13">
        <v>0.4</v>
      </c>
    </row>
    <row r="256">
      <c r="A256" s="18" t="s">
        <v>59</v>
      </c>
      <c r="B256" s="13">
        <v>11.0</v>
      </c>
      <c r="C256" s="13" t="s">
        <v>18</v>
      </c>
      <c r="D256" s="13" t="s">
        <v>2</v>
      </c>
      <c r="E256" s="13">
        <v>2.0</v>
      </c>
      <c r="F256" s="13">
        <v>0.73</v>
      </c>
      <c r="G256" s="13">
        <v>1.27</v>
      </c>
      <c r="H256" s="13">
        <v>0.03</v>
      </c>
    </row>
    <row r="257">
      <c r="A257" s="18" t="s">
        <v>59</v>
      </c>
      <c r="B257" s="13">
        <v>11.0</v>
      </c>
      <c r="C257" s="13" t="s">
        <v>18</v>
      </c>
      <c r="D257" s="13" t="s">
        <v>3</v>
      </c>
      <c r="E257" s="13">
        <v>0.4</v>
      </c>
      <c r="F257" s="13">
        <v>0.25</v>
      </c>
      <c r="G257" s="13">
        <v>0.15</v>
      </c>
      <c r="H257" s="13">
        <v>0.0</v>
      </c>
    </row>
    <row r="258">
      <c r="A258" s="18" t="s">
        <v>59</v>
      </c>
      <c r="B258" s="13">
        <v>11.0</v>
      </c>
      <c r="C258" s="13" t="s">
        <v>18</v>
      </c>
      <c r="D258" s="13" t="s">
        <v>4</v>
      </c>
      <c r="E258" s="13">
        <v>0.08</v>
      </c>
      <c r="F258" s="13">
        <v>0.11</v>
      </c>
      <c r="G258" s="13">
        <v>-0.03</v>
      </c>
      <c r="H258" s="13">
        <v>0.0</v>
      </c>
    </row>
    <row r="259">
      <c r="A259" s="18" t="s">
        <v>59</v>
      </c>
      <c r="B259" s="13">
        <v>11.0</v>
      </c>
      <c r="C259" s="13" t="s">
        <v>18</v>
      </c>
      <c r="D259" s="13" t="s">
        <v>5</v>
      </c>
      <c r="E259" s="13">
        <v>0.01</v>
      </c>
      <c r="F259" s="13">
        <v>0.05</v>
      </c>
      <c r="G259" s="13">
        <v>-0.04</v>
      </c>
      <c r="H259" s="13">
        <v>0.0</v>
      </c>
    </row>
    <row r="260">
      <c r="A260" s="18" t="s">
        <v>60</v>
      </c>
      <c r="B260" s="13">
        <v>11.0</v>
      </c>
      <c r="C260" s="13" t="s">
        <v>20</v>
      </c>
      <c r="D260" s="13" t="s">
        <v>0</v>
      </c>
      <c r="E260" s="13">
        <v>41.1</v>
      </c>
      <c r="F260" s="13">
        <v>26.48</v>
      </c>
      <c r="G260" s="13">
        <v>14.62</v>
      </c>
      <c r="H260" s="13">
        <v>6.01</v>
      </c>
    </row>
    <row r="261">
      <c r="A261" s="18" t="s">
        <v>60</v>
      </c>
      <c r="B261" s="13">
        <v>11.0</v>
      </c>
      <c r="C261" s="13" t="s">
        <v>20</v>
      </c>
      <c r="D261" s="13" t="s">
        <v>1</v>
      </c>
      <c r="E261" s="13">
        <v>8.4</v>
      </c>
      <c r="F261" s="13">
        <v>4.86</v>
      </c>
      <c r="G261" s="13">
        <v>3.54</v>
      </c>
      <c r="H261" s="13">
        <v>0.3</v>
      </c>
    </row>
    <row r="262">
      <c r="A262" s="18" t="s">
        <v>60</v>
      </c>
      <c r="B262" s="13">
        <v>11.0</v>
      </c>
      <c r="C262" s="13" t="s">
        <v>20</v>
      </c>
      <c r="D262" s="13" t="s">
        <v>2</v>
      </c>
      <c r="E262" s="13">
        <v>1.9</v>
      </c>
      <c r="F262" s="13">
        <v>0.8</v>
      </c>
      <c r="G262" s="13">
        <v>1.1</v>
      </c>
      <c r="H262" s="13">
        <v>0.02</v>
      </c>
    </row>
    <row r="263">
      <c r="A263" s="18" t="s">
        <v>60</v>
      </c>
      <c r="B263" s="13">
        <v>11.0</v>
      </c>
      <c r="C263" s="13" t="s">
        <v>20</v>
      </c>
      <c r="D263" s="13" t="s">
        <v>3</v>
      </c>
      <c r="E263" s="13">
        <v>0.4</v>
      </c>
      <c r="F263" s="13">
        <v>0.25</v>
      </c>
      <c r="G263" s="13">
        <v>0.15</v>
      </c>
      <c r="H263" s="13">
        <v>0.0</v>
      </c>
    </row>
    <row r="264">
      <c r="A264" s="18" t="s">
        <v>60</v>
      </c>
      <c r="B264" s="13">
        <v>11.0</v>
      </c>
      <c r="C264" s="13" t="s">
        <v>20</v>
      </c>
      <c r="D264" s="13" t="s">
        <v>4</v>
      </c>
      <c r="E264" s="13">
        <v>0.09</v>
      </c>
      <c r="F264" s="13">
        <v>0.09</v>
      </c>
      <c r="G264" s="13">
        <v>0.0</v>
      </c>
      <c r="H264" s="13">
        <v>0.0</v>
      </c>
    </row>
    <row r="265">
      <c r="A265" s="18" t="s">
        <v>60</v>
      </c>
      <c r="B265" s="13">
        <v>11.0</v>
      </c>
      <c r="C265" s="13" t="s">
        <v>20</v>
      </c>
      <c r="D265" s="13" t="s">
        <v>5</v>
      </c>
      <c r="E265" s="13">
        <v>0.01</v>
      </c>
      <c r="F265" s="13">
        <v>0.03</v>
      </c>
      <c r="G265" s="13">
        <v>-0.02</v>
      </c>
      <c r="H265" s="13">
        <v>0.0</v>
      </c>
    </row>
    <row r="266">
      <c r="A266" s="18" t="s">
        <v>61</v>
      </c>
      <c r="B266" s="13">
        <v>12.0</v>
      </c>
      <c r="C266" s="13" t="s">
        <v>14</v>
      </c>
      <c r="D266" s="13" t="s">
        <v>0</v>
      </c>
      <c r="E266" s="13">
        <v>20.4</v>
      </c>
      <c r="F266" s="13">
        <v>10.79</v>
      </c>
      <c r="G266" s="13">
        <v>9.61</v>
      </c>
      <c r="H266" s="13">
        <v>1.96</v>
      </c>
    </row>
    <row r="267">
      <c r="A267" s="18" t="s">
        <v>61</v>
      </c>
      <c r="B267" s="13">
        <v>12.0</v>
      </c>
      <c r="C267" s="13" t="s">
        <v>14</v>
      </c>
      <c r="D267" s="13" t="s">
        <v>1</v>
      </c>
      <c r="E267" s="13">
        <v>5.8</v>
      </c>
      <c r="F267" s="13">
        <v>2.14</v>
      </c>
      <c r="G267" s="13">
        <v>3.66</v>
      </c>
      <c r="H267" s="13">
        <v>0.21</v>
      </c>
    </row>
    <row r="268">
      <c r="A268" s="18" t="s">
        <v>61</v>
      </c>
      <c r="B268" s="13">
        <v>12.0</v>
      </c>
      <c r="C268" s="13" t="s">
        <v>14</v>
      </c>
      <c r="D268" s="13" t="s">
        <v>2</v>
      </c>
      <c r="E268" s="13">
        <v>0.6</v>
      </c>
      <c r="F268" s="13">
        <v>0.42</v>
      </c>
      <c r="G268" s="13">
        <v>0.18</v>
      </c>
      <c r="H268" s="13">
        <v>0.0</v>
      </c>
    </row>
    <row r="269">
      <c r="A269" s="18" t="s">
        <v>61</v>
      </c>
      <c r="B269" s="13">
        <v>12.0</v>
      </c>
      <c r="C269" s="13" t="s">
        <v>14</v>
      </c>
      <c r="D269" s="13" t="s">
        <v>3</v>
      </c>
      <c r="E269" s="13">
        <v>0.1</v>
      </c>
      <c r="F269" s="13">
        <v>0.18</v>
      </c>
      <c r="G269" s="13">
        <v>-0.08</v>
      </c>
      <c r="H269" s="13">
        <v>0.0</v>
      </c>
    </row>
    <row r="270">
      <c r="A270" s="18" t="s">
        <v>61</v>
      </c>
      <c r="B270" s="13">
        <v>12.0</v>
      </c>
      <c r="C270" s="13" t="s">
        <v>14</v>
      </c>
      <c r="D270" s="13" t="s">
        <v>4</v>
      </c>
      <c r="E270" s="13">
        <v>0.01</v>
      </c>
      <c r="F270" s="13">
        <v>0.08</v>
      </c>
      <c r="G270" s="13">
        <v>-0.07</v>
      </c>
      <c r="H270" s="13">
        <v>0.0</v>
      </c>
    </row>
    <row r="271">
      <c r="A271" s="18" t="s">
        <v>61</v>
      </c>
      <c r="B271" s="13">
        <v>12.0</v>
      </c>
      <c r="C271" s="13" t="s">
        <v>14</v>
      </c>
      <c r="D271" s="13" t="s">
        <v>5</v>
      </c>
      <c r="E271" s="13">
        <v>0.001</v>
      </c>
      <c r="F271" s="13">
        <v>0.04</v>
      </c>
      <c r="G271" s="13">
        <v>-0.039</v>
      </c>
      <c r="H271" s="13">
        <v>0.0</v>
      </c>
    </row>
    <row r="272">
      <c r="A272" s="18" t="s">
        <v>62</v>
      </c>
      <c r="B272" s="13">
        <v>12.0</v>
      </c>
      <c r="C272" s="13" t="s">
        <v>16</v>
      </c>
      <c r="D272" s="13" t="s">
        <v>0</v>
      </c>
      <c r="E272" s="13">
        <v>16.8</v>
      </c>
      <c r="F272" s="13">
        <v>14.74</v>
      </c>
      <c r="G272" s="13">
        <v>2.06</v>
      </c>
      <c r="H272" s="13">
        <v>0.35</v>
      </c>
    </row>
    <row r="273">
      <c r="A273" s="18" t="s">
        <v>62</v>
      </c>
      <c r="B273" s="13">
        <v>12.0</v>
      </c>
      <c r="C273" s="13" t="s">
        <v>16</v>
      </c>
      <c r="D273" s="13" t="s">
        <v>1</v>
      </c>
      <c r="E273" s="13">
        <v>2.7</v>
      </c>
      <c r="F273" s="13">
        <v>3.09</v>
      </c>
      <c r="G273" s="13">
        <v>-0.39</v>
      </c>
      <c r="H273" s="13">
        <v>-0.01</v>
      </c>
    </row>
    <row r="274">
      <c r="A274" s="18" t="s">
        <v>62</v>
      </c>
      <c r="B274" s="13">
        <v>12.0</v>
      </c>
      <c r="C274" s="13" t="s">
        <v>16</v>
      </c>
      <c r="D274" s="13" t="s">
        <v>2</v>
      </c>
      <c r="E274" s="13">
        <v>0.2</v>
      </c>
      <c r="F274" s="13">
        <v>0.55</v>
      </c>
      <c r="G274" s="13">
        <v>-0.35</v>
      </c>
      <c r="H274" s="13">
        <v>0.0</v>
      </c>
    </row>
    <row r="275">
      <c r="A275" s="18" t="s">
        <v>62</v>
      </c>
      <c r="B275" s="13">
        <v>12.0</v>
      </c>
      <c r="C275" s="13" t="s">
        <v>16</v>
      </c>
      <c r="D275" s="13" t="s">
        <v>3</v>
      </c>
      <c r="E275" s="13">
        <v>0.02</v>
      </c>
      <c r="F275" s="13">
        <v>0.24</v>
      </c>
      <c r="G275" s="13">
        <v>-0.22</v>
      </c>
      <c r="H275" s="13">
        <v>0.0</v>
      </c>
    </row>
    <row r="276">
      <c r="A276" s="18" t="s">
        <v>62</v>
      </c>
      <c r="B276" s="13">
        <v>12.0</v>
      </c>
      <c r="C276" s="13" t="s">
        <v>16</v>
      </c>
      <c r="D276" s="13" t="s">
        <v>4</v>
      </c>
      <c r="E276" s="13">
        <v>0.001</v>
      </c>
      <c r="F276" s="13">
        <v>0.1</v>
      </c>
      <c r="G276" s="13">
        <v>-0.099</v>
      </c>
      <c r="H276" s="13">
        <v>0.0</v>
      </c>
    </row>
    <row r="277">
      <c r="A277" s="18" t="s">
        <v>62</v>
      </c>
      <c r="B277" s="13">
        <v>12.0</v>
      </c>
      <c r="C277" s="13" t="s">
        <v>16</v>
      </c>
      <c r="D277" s="13" t="s">
        <v>5</v>
      </c>
      <c r="E277" s="13">
        <v>1.0E-4</v>
      </c>
      <c r="F277" s="13">
        <v>0.04</v>
      </c>
      <c r="G277" s="13">
        <v>-0.0399</v>
      </c>
      <c r="H277" s="13">
        <v>0.0</v>
      </c>
    </row>
    <row r="278">
      <c r="A278" s="18" t="s">
        <v>63</v>
      </c>
      <c r="B278" s="13">
        <v>12.0</v>
      </c>
      <c r="C278" s="13" t="s">
        <v>18</v>
      </c>
      <c r="D278" s="13" t="s">
        <v>0</v>
      </c>
      <c r="E278" s="13">
        <v>21.8</v>
      </c>
      <c r="F278" s="13">
        <v>21.34</v>
      </c>
      <c r="G278" s="13">
        <v>0.46</v>
      </c>
      <c r="H278" s="13">
        <v>0.1</v>
      </c>
    </row>
    <row r="279">
      <c r="A279" s="18" t="s">
        <v>63</v>
      </c>
      <c r="B279" s="13">
        <v>12.0</v>
      </c>
      <c r="C279" s="13" t="s">
        <v>18</v>
      </c>
      <c r="D279" s="13" t="s">
        <v>1</v>
      </c>
      <c r="E279" s="13">
        <v>5.4</v>
      </c>
      <c r="F279" s="13">
        <v>4.97</v>
      </c>
      <c r="G279" s="13">
        <v>0.43</v>
      </c>
      <c r="H279" s="13">
        <v>0.02</v>
      </c>
    </row>
    <row r="280">
      <c r="A280" s="18" t="s">
        <v>63</v>
      </c>
      <c r="B280" s="13">
        <v>12.0</v>
      </c>
      <c r="C280" s="13" t="s">
        <v>18</v>
      </c>
      <c r="D280" s="13" t="s">
        <v>2</v>
      </c>
      <c r="E280" s="13">
        <v>0.4</v>
      </c>
      <c r="F280" s="13">
        <v>0.52</v>
      </c>
      <c r="G280" s="13">
        <v>-0.12</v>
      </c>
      <c r="H280" s="13">
        <v>0.0</v>
      </c>
    </row>
    <row r="281">
      <c r="A281" s="18" t="s">
        <v>63</v>
      </c>
      <c r="B281" s="13">
        <v>12.0</v>
      </c>
      <c r="C281" s="13" t="s">
        <v>18</v>
      </c>
      <c r="D281" s="13" t="s">
        <v>3</v>
      </c>
      <c r="E281" s="13">
        <v>0.07</v>
      </c>
      <c r="F281" s="13">
        <v>0.23</v>
      </c>
      <c r="G281" s="13">
        <v>-0.16</v>
      </c>
      <c r="H281" s="13">
        <v>0.0</v>
      </c>
    </row>
    <row r="282">
      <c r="A282" s="18" t="s">
        <v>63</v>
      </c>
      <c r="B282" s="13">
        <v>12.0</v>
      </c>
      <c r="C282" s="13" t="s">
        <v>18</v>
      </c>
      <c r="D282" s="13" t="s">
        <v>4</v>
      </c>
      <c r="E282" s="13">
        <v>0.009</v>
      </c>
      <c r="F282" s="13">
        <v>0.1</v>
      </c>
      <c r="G282" s="13">
        <v>-0.091</v>
      </c>
      <c r="H282" s="13">
        <v>0.0</v>
      </c>
    </row>
    <row r="283">
      <c r="A283" s="18" t="s">
        <v>63</v>
      </c>
      <c r="B283" s="13">
        <v>12.0</v>
      </c>
      <c r="C283" s="13" t="s">
        <v>18</v>
      </c>
      <c r="D283" s="13" t="s">
        <v>5</v>
      </c>
      <c r="E283" s="13">
        <v>0.002</v>
      </c>
      <c r="F283" s="13">
        <v>0.05</v>
      </c>
      <c r="G283" s="13">
        <v>-0.048</v>
      </c>
      <c r="H283" s="13">
        <v>0.0</v>
      </c>
    </row>
    <row r="284">
      <c r="A284" s="18" t="s">
        <v>64</v>
      </c>
      <c r="B284" s="13">
        <v>12.0</v>
      </c>
      <c r="C284" s="13" t="s">
        <v>20</v>
      </c>
      <c r="D284" s="13" t="s">
        <v>0</v>
      </c>
      <c r="E284" s="13">
        <v>17.7</v>
      </c>
      <c r="F284" s="13">
        <v>15.09</v>
      </c>
      <c r="G284" s="13">
        <v>2.61</v>
      </c>
      <c r="H284" s="13">
        <v>0.46</v>
      </c>
    </row>
    <row r="285">
      <c r="A285" s="18" t="s">
        <v>64</v>
      </c>
      <c r="B285" s="13">
        <v>12.0</v>
      </c>
      <c r="C285" s="13" t="s">
        <v>20</v>
      </c>
      <c r="D285" s="13" t="s">
        <v>1</v>
      </c>
      <c r="E285" s="13">
        <v>4.4</v>
      </c>
      <c r="F285" s="13">
        <v>4.94</v>
      </c>
      <c r="G285" s="13">
        <v>-0.54</v>
      </c>
      <c r="H285" s="13">
        <v>-0.02</v>
      </c>
    </row>
    <row r="286">
      <c r="A286" s="18" t="s">
        <v>64</v>
      </c>
      <c r="B286" s="13">
        <v>12.0</v>
      </c>
      <c r="C286" s="13" t="s">
        <v>20</v>
      </c>
      <c r="D286" s="13" t="s">
        <v>2</v>
      </c>
      <c r="E286" s="13">
        <v>0.6</v>
      </c>
      <c r="F286" s="13">
        <v>0.63</v>
      </c>
      <c r="G286" s="13">
        <v>-0.03</v>
      </c>
      <c r="H286" s="13">
        <v>0.0</v>
      </c>
    </row>
    <row r="287">
      <c r="A287" s="18" t="s">
        <v>64</v>
      </c>
      <c r="B287" s="13">
        <v>12.0</v>
      </c>
      <c r="C287" s="13" t="s">
        <v>20</v>
      </c>
      <c r="D287" s="13" t="s">
        <v>3</v>
      </c>
      <c r="E287" s="13">
        <v>0.08</v>
      </c>
      <c r="F287" s="13">
        <v>0.26</v>
      </c>
      <c r="G287" s="13">
        <v>-0.18</v>
      </c>
      <c r="H287" s="13">
        <v>0.0</v>
      </c>
    </row>
    <row r="288">
      <c r="A288" s="18" t="s">
        <v>64</v>
      </c>
      <c r="B288" s="13">
        <v>12.0</v>
      </c>
      <c r="C288" s="13" t="s">
        <v>20</v>
      </c>
      <c r="D288" s="13" t="s">
        <v>4</v>
      </c>
      <c r="E288" s="13">
        <v>0.01</v>
      </c>
      <c r="F288" s="13">
        <v>0.1</v>
      </c>
      <c r="G288" s="13">
        <v>-0.09</v>
      </c>
      <c r="H288" s="13">
        <v>0.0</v>
      </c>
    </row>
    <row r="289">
      <c r="A289" s="18" t="s">
        <v>64</v>
      </c>
      <c r="B289" s="13">
        <v>12.0</v>
      </c>
      <c r="C289" s="13" t="s">
        <v>20</v>
      </c>
      <c r="D289" s="13" t="s">
        <v>5</v>
      </c>
      <c r="E289" s="13">
        <v>0.002</v>
      </c>
      <c r="F289" s="13">
        <v>0.04</v>
      </c>
      <c r="G289" s="13">
        <v>-0.038</v>
      </c>
      <c r="H289" s="13">
        <v>0.0</v>
      </c>
    </row>
    <row r="290">
      <c r="A290" s="18" t="s">
        <v>65</v>
      </c>
      <c r="B290" s="13">
        <v>13.0</v>
      </c>
      <c r="C290" s="13" t="s">
        <v>14</v>
      </c>
      <c r="D290" s="13" t="s">
        <v>0</v>
      </c>
      <c r="E290" s="13">
        <v>13.3</v>
      </c>
      <c r="F290" s="13">
        <v>4.35</v>
      </c>
      <c r="G290" s="13">
        <v>8.95</v>
      </c>
      <c r="H290" s="13">
        <v>1.19</v>
      </c>
    </row>
    <row r="291">
      <c r="A291" s="18" t="s">
        <v>65</v>
      </c>
      <c r="B291" s="13">
        <v>13.0</v>
      </c>
      <c r="C291" s="13" t="s">
        <v>14</v>
      </c>
      <c r="D291" s="13" t="s">
        <v>1</v>
      </c>
      <c r="E291" s="13">
        <v>2.2</v>
      </c>
      <c r="F291" s="13">
        <v>1.13</v>
      </c>
      <c r="G291" s="13">
        <v>1.07</v>
      </c>
      <c r="H291" s="13">
        <v>0.02</v>
      </c>
    </row>
    <row r="292">
      <c r="A292" s="18" t="s">
        <v>65</v>
      </c>
      <c r="B292" s="13">
        <v>13.0</v>
      </c>
      <c r="C292" s="13" t="s">
        <v>14</v>
      </c>
      <c r="D292" s="13" t="s">
        <v>2</v>
      </c>
      <c r="E292" s="13">
        <v>0.1</v>
      </c>
      <c r="F292" s="13">
        <v>0.33</v>
      </c>
      <c r="G292" s="13">
        <v>-0.23</v>
      </c>
      <c r="H292" s="13">
        <v>0.0</v>
      </c>
    </row>
    <row r="293">
      <c r="A293" s="18" t="s">
        <v>65</v>
      </c>
      <c r="B293" s="13">
        <v>13.0</v>
      </c>
      <c r="C293" s="13" t="s">
        <v>14</v>
      </c>
      <c r="D293" s="13" t="s">
        <v>3</v>
      </c>
      <c r="E293" s="13">
        <v>0.01</v>
      </c>
      <c r="F293" s="13">
        <v>0.14</v>
      </c>
      <c r="G293" s="13">
        <v>-0.13</v>
      </c>
      <c r="H293" s="13">
        <v>0.0</v>
      </c>
    </row>
    <row r="294">
      <c r="A294" s="18" t="s">
        <v>65</v>
      </c>
      <c r="B294" s="13">
        <v>13.0</v>
      </c>
      <c r="C294" s="13" t="s">
        <v>14</v>
      </c>
      <c r="D294" s="13" t="s">
        <v>4</v>
      </c>
      <c r="E294" s="13">
        <v>0.001</v>
      </c>
      <c r="F294" s="13">
        <v>0.07</v>
      </c>
      <c r="G294" s="13">
        <v>-0.069</v>
      </c>
      <c r="H294" s="13">
        <v>0.0</v>
      </c>
    </row>
    <row r="295">
      <c r="A295" s="18" t="s">
        <v>65</v>
      </c>
      <c r="B295" s="13">
        <v>13.0</v>
      </c>
      <c r="C295" s="13" t="s">
        <v>14</v>
      </c>
      <c r="D295" s="13" t="s">
        <v>5</v>
      </c>
      <c r="E295" s="13">
        <v>1.0E-4</v>
      </c>
      <c r="F295" s="13">
        <v>0.03</v>
      </c>
      <c r="G295" s="13">
        <v>-0.0299</v>
      </c>
      <c r="H295" s="13">
        <v>0.0</v>
      </c>
    </row>
    <row r="296">
      <c r="A296" s="18" t="s">
        <v>66</v>
      </c>
      <c r="B296" s="13">
        <v>13.0</v>
      </c>
      <c r="C296" s="13" t="s">
        <v>16</v>
      </c>
      <c r="D296" s="13" t="s">
        <v>0</v>
      </c>
      <c r="E296" s="13">
        <v>9.4</v>
      </c>
      <c r="F296" s="13">
        <v>6.94</v>
      </c>
      <c r="G296" s="13">
        <v>2.46</v>
      </c>
      <c r="H296" s="13">
        <v>0.23</v>
      </c>
    </row>
    <row r="297">
      <c r="A297" s="18" t="s">
        <v>66</v>
      </c>
      <c r="B297" s="13">
        <v>13.0</v>
      </c>
      <c r="C297" s="13" t="s">
        <v>16</v>
      </c>
      <c r="D297" s="13" t="s">
        <v>1</v>
      </c>
      <c r="E297" s="13">
        <v>1.7</v>
      </c>
      <c r="F297" s="13">
        <v>2.17</v>
      </c>
      <c r="G297" s="13">
        <v>-0.47</v>
      </c>
      <c r="H297" s="13">
        <v>-0.01</v>
      </c>
    </row>
    <row r="298">
      <c r="A298" s="18" t="s">
        <v>66</v>
      </c>
      <c r="B298" s="13">
        <v>13.0</v>
      </c>
      <c r="C298" s="13" t="s">
        <v>16</v>
      </c>
      <c r="D298" s="13" t="s">
        <v>2</v>
      </c>
      <c r="E298" s="13">
        <v>0.07</v>
      </c>
      <c r="F298" s="13">
        <v>0.55</v>
      </c>
      <c r="G298" s="13">
        <v>-0.48</v>
      </c>
      <c r="H298" s="13">
        <v>0.0</v>
      </c>
    </row>
    <row r="299">
      <c r="A299" s="18" t="s">
        <v>66</v>
      </c>
      <c r="B299" s="13">
        <v>13.0</v>
      </c>
      <c r="C299" s="13" t="s">
        <v>16</v>
      </c>
      <c r="D299" s="13" t="s">
        <v>3</v>
      </c>
      <c r="E299" s="13">
        <v>0.007</v>
      </c>
      <c r="F299" s="13">
        <v>0.26</v>
      </c>
      <c r="G299" s="13">
        <v>-0.253</v>
      </c>
      <c r="H299" s="13">
        <v>0.0</v>
      </c>
    </row>
    <row r="300">
      <c r="A300" s="18" t="s">
        <v>66</v>
      </c>
      <c r="B300" s="13">
        <v>13.0</v>
      </c>
      <c r="C300" s="13" t="s">
        <v>16</v>
      </c>
      <c r="D300" s="13" t="s">
        <v>4</v>
      </c>
      <c r="E300" s="13">
        <v>1.0E-4</v>
      </c>
      <c r="F300" s="13">
        <v>0.13</v>
      </c>
      <c r="G300" s="13">
        <v>-0.1299</v>
      </c>
      <c r="H300" s="13">
        <v>0.0</v>
      </c>
    </row>
    <row r="301">
      <c r="A301" s="18" t="s">
        <v>66</v>
      </c>
      <c r="B301" s="13">
        <v>13.0</v>
      </c>
      <c r="C301" s="13" t="s">
        <v>16</v>
      </c>
      <c r="D301" s="13" t="s">
        <v>5</v>
      </c>
      <c r="E301" s="13">
        <v>1.0E-4</v>
      </c>
      <c r="F301" s="13">
        <v>0.06</v>
      </c>
      <c r="G301" s="13">
        <v>-0.0599</v>
      </c>
      <c r="H301" s="13">
        <v>0.0</v>
      </c>
    </row>
    <row r="302">
      <c r="A302" s="18" t="s">
        <v>67</v>
      </c>
      <c r="B302" s="13">
        <v>13.0</v>
      </c>
      <c r="C302" s="13" t="s">
        <v>18</v>
      </c>
      <c r="D302" s="13" t="s">
        <v>0</v>
      </c>
      <c r="E302" s="13">
        <v>15.1</v>
      </c>
      <c r="F302" s="13">
        <v>6.96</v>
      </c>
      <c r="G302" s="13">
        <v>8.14</v>
      </c>
      <c r="H302" s="13">
        <v>1.23</v>
      </c>
    </row>
    <row r="303">
      <c r="A303" s="18" t="s">
        <v>67</v>
      </c>
      <c r="B303" s="13">
        <v>13.0</v>
      </c>
      <c r="C303" s="13" t="s">
        <v>18</v>
      </c>
      <c r="D303" s="13" t="s">
        <v>1</v>
      </c>
      <c r="E303" s="13">
        <v>3.5</v>
      </c>
      <c r="F303" s="13">
        <v>2.06</v>
      </c>
      <c r="G303" s="13">
        <v>1.44</v>
      </c>
      <c r="H303" s="13">
        <v>0.05</v>
      </c>
    </row>
    <row r="304">
      <c r="A304" s="18" t="s">
        <v>67</v>
      </c>
      <c r="B304" s="13">
        <v>13.0</v>
      </c>
      <c r="C304" s="13" t="s">
        <v>18</v>
      </c>
      <c r="D304" s="13" t="s">
        <v>2</v>
      </c>
      <c r="E304" s="13">
        <v>0.2</v>
      </c>
      <c r="F304" s="13">
        <v>0.44</v>
      </c>
      <c r="G304" s="13">
        <v>-0.24</v>
      </c>
      <c r="H304" s="13">
        <v>0.0</v>
      </c>
    </row>
    <row r="305">
      <c r="A305" s="18" t="s">
        <v>67</v>
      </c>
      <c r="B305" s="13">
        <v>13.0</v>
      </c>
      <c r="C305" s="13" t="s">
        <v>18</v>
      </c>
      <c r="D305" s="13" t="s">
        <v>3</v>
      </c>
      <c r="E305" s="13">
        <v>0.03</v>
      </c>
      <c r="F305" s="13">
        <v>0.19</v>
      </c>
      <c r="G305" s="13">
        <v>-0.16</v>
      </c>
      <c r="H305" s="13">
        <v>0.0</v>
      </c>
    </row>
    <row r="306">
      <c r="A306" s="18" t="s">
        <v>67</v>
      </c>
      <c r="B306" s="13">
        <v>13.0</v>
      </c>
      <c r="C306" s="13" t="s">
        <v>18</v>
      </c>
      <c r="D306" s="13" t="s">
        <v>4</v>
      </c>
      <c r="E306" s="13">
        <v>0.004</v>
      </c>
      <c r="F306" s="13">
        <v>0.09</v>
      </c>
      <c r="G306" s="13">
        <v>-0.086</v>
      </c>
      <c r="H306" s="13">
        <v>0.0</v>
      </c>
    </row>
    <row r="307">
      <c r="A307" s="18" t="s">
        <v>67</v>
      </c>
      <c r="B307" s="13">
        <v>13.0</v>
      </c>
      <c r="C307" s="13" t="s">
        <v>18</v>
      </c>
      <c r="D307" s="13" t="s">
        <v>5</v>
      </c>
      <c r="E307" s="13">
        <v>5.0E-4</v>
      </c>
      <c r="F307" s="13">
        <v>0.04</v>
      </c>
      <c r="G307" s="13">
        <v>-0.0395</v>
      </c>
      <c r="H307" s="13">
        <v>0.0</v>
      </c>
    </row>
    <row r="308">
      <c r="A308" s="18" t="s">
        <v>68</v>
      </c>
      <c r="B308" s="13">
        <v>13.0</v>
      </c>
      <c r="C308" s="13" t="s">
        <v>20</v>
      </c>
      <c r="D308" s="13" t="s">
        <v>0</v>
      </c>
      <c r="E308" s="13">
        <v>7.5</v>
      </c>
      <c r="F308" s="13">
        <v>11.23</v>
      </c>
      <c r="G308" s="13">
        <v>-3.73</v>
      </c>
      <c r="H308" s="13">
        <v>-0.28</v>
      </c>
    </row>
    <row r="309">
      <c r="A309" s="18" t="s">
        <v>68</v>
      </c>
      <c r="B309" s="13">
        <v>13.0</v>
      </c>
      <c r="C309" s="13" t="s">
        <v>20</v>
      </c>
      <c r="D309" s="13" t="s">
        <v>1</v>
      </c>
      <c r="E309" s="13">
        <v>0.7</v>
      </c>
      <c r="F309" s="13">
        <v>2.11</v>
      </c>
      <c r="G309" s="13">
        <v>-1.41</v>
      </c>
      <c r="H309" s="13">
        <v>-0.01</v>
      </c>
    </row>
    <row r="310">
      <c r="A310" s="18" t="s">
        <v>68</v>
      </c>
      <c r="B310" s="13">
        <v>13.0</v>
      </c>
      <c r="C310" s="13" t="s">
        <v>20</v>
      </c>
      <c r="D310" s="13" t="s">
        <v>2</v>
      </c>
      <c r="E310" s="13">
        <v>0.03</v>
      </c>
      <c r="F310" s="13">
        <v>0.42</v>
      </c>
      <c r="G310" s="13">
        <v>-0.39</v>
      </c>
      <c r="H310" s="13">
        <v>0.0</v>
      </c>
    </row>
    <row r="311">
      <c r="A311" s="18" t="s">
        <v>68</v>
      </c>
      <c r="B311" s="13">
        <v>13.0</v>
      </c>
      <c r="C311" s="13" t="s">
        <v>20</v>
      </c>
      <c r="D311" s="13" t="s">
        <v>3</v>
      </c>
      <c r="E311" s="13">
        <v>0.001</v>
      </c>
      <c r="F311" s="13">
        <v>0.18</v>
      </c>
      <c r="G311" s="13">
        <v>-0.179</v>
      </c>
      <c r="H311" s="13">
        <v>0.0</v>
      </c>
    </row>
    <row r="312">
      <c r="A312" s="18" t="s">
        <v>68</v>
      </c>
      <c r="B312" s="13">
        <v>13.0</v>
      </c>
      <c r="C312" s="13" t="s">
        <v>20</v>
      </c>
      <c r="D312" s="13" t="s">
        <v>4</v>
      </c>
      <c r="E312" s="13">
        <v>1.0E-4</v>
      </c>
      <c r="F312" s="13">
        <v>0.07</v>
      </c>
      <c r="G312" s="13">
        <v>-0.0699</v>
      </c>
      <c r="H312" s="13">
        <v>0.0</v>
      </c>
    </row>
    <row r="313">
      <c r="A313" s="18" t="s">
        <v>68</v>
      </c>
      <c r="B313" s="13">
        <v>13.0</v>
      </c>
      <c r="C313" s="13" t="s">
        <v>20</v>
      </c>
      <c r="D313" s="13" t="s">
        <v>5</v>
      </c>
      <c r="E313" s="13">
        <v>1.0E-4</v>
      </c>
      <c r="F313" s="13">
        <v>0.03</v>
      </c>
      <c r="G313" s="13">
        <v>-0.0299</v>
      </c>
      <c r="H313" s="13">
        <v>0.0</v>
      </c>
    </row>
    <row r="314">
      <c r="A314" s="18" t="s">
        <v>69</v>
      </c>
      <c r="B314" s="13">
        <v>14.0</v>
      </c>
      <c r="C314" s="13" t="s">
        <v>14</v>
      </c>
      <c r="D314" s="13" t="s">
        <v>0</v>
      </c>
      <c r="E314" s="13">
        <v>8.4</v>
      </c>
      <c r="F314" s="13">
        <v>3.94</v>
      </c>
      <c r="G314" s="13">
        <v>4.46</v>
      </c>
      <c r="H314" s="13">
        <v>0.37</v>
      </c>
    </row>
    <row r="315">
      <c r="A315" s="18" t="s">
        <v>69</v>
      </c>
      <c r="B315" s="13">
        <v>14.0</v>
      </c>
      <c r="C315" s="13" t="s">
        <v>14</v>
      </c>
      <c r="D315" s="13" t="s">
        <v>1</v>
      </c>
      <c r="E315" s="13">
        <v>1.2</v>
      </c>
      <c r="F315" s="13">
        <v>1.31</v>
      </c>
      <c r="G315" s="13">
        <v>-0.11</v>
      </c>
      <c r="H315" s="13">
        <v>0.0</v>
      </c>
    </row>
    <row r="316">
      <c r="A316" s="18" t="s">
        <v>69</v>
      </c>
      <c r="B316" s="13">
        <v>14.0</v>
      </c>
      <c r="C316" s="13" t="s">
        <v>14</v>
      </c>
      <c r="D316" s="13" t="s">
        <v>2</v>
      </c>
      <c r="E316" s="13">
        <v>0.2</v>
      </c>
      <c r="F316" s="13">
        <v>0.37</v>
      </c>
      <c r="G316" s="13">
        <v>-0.17</v>
      </c>
      <c r="H316" s="13">
        <v>0.0</v>
      </c>
    </row>
    <row r="317">
      <c r="A317" s="18" t="s">
        <v>69</v>
      </c>
      <c r="B317" s="13">
        <v>14.0</v>
      </c>
      <c r="C317" s="13" t="s">
        <v>14</v>
      </c>
      <c r="D317" s="13" t="s">
        <v>3</v>
      </c>
      <c r="E317" s="13">
        <v>0.008</v>
      </c>
      <c r="F317" s="13">
        <v>0.14</v>
      </c>
      <c r="G317" s="13">
        <v>-0.132</v>
      </c>
      <c r="H317" s="13">
        <v>0.0</v>
      </c>
    </row>
    <row r="318">
      <c r="A318" s="18" t="s">
        <v>69</v>
      </c>
      <c r="B318" s="13">
        <v>14.0</v>
      </c>
      <c r="C318" s="13" t="s">
        <v>14</v>
      </c>
      <c r="D318" s="13" t="s">
        <v>4</v>
      </c>
      <c r="E318" s="13">
        <v>5.0E-4</v>
      </c>
      <c r="F318" s="13">
        <v>0.06</v>
      </c>
      <c r="G318" s="13">
        <v>-0.0595</v>
      </c>
      <c r="H318" s="13">
        <v>0.0</v>
      </c>
    </row>
    <row r="319">
      <c r="A319" s="18" t="s">
        <v>69</v>
      </c>
      <c r="B319" s="13">
        <v>14.0</v>
      </c>
      <c r="C319" s="13" t="s">
        <v>14</v>
      </c>
      <c r="D319" s="13" t="s">
        <v>5</v>
      </c>
      <c r="E319" s="13">
        <v>1.0E-4</v>
      </c>
      <c r="F319" s="13">
        <v>0.03</v>
      </c>
      <c r="G319" s="13">
        <v>-0.0299</v>
      </c>
      <c r="H319" s="13">
        <v>0.0</v>
      </c>
    </row>
    <row r="320">
      <c r="A320" s="18" t="s">
        <v>70</v>
      </c>
      <c r="B320" s="13">
        <v>14.0</v>
      </c>
      <c r="C320" s="13" t="s">
        <v>16</v>
      </c>
      <c r="D320" s="13" t="s">
        <v>0</v>
      </c>
      <c r="E320" s="13">
        <v>3.7</v>
      </c>
      <c r="F320" s="13">
        <v>4.08</v>
      </c>
      <c r="G320" s="13">
        <v>-0.38</v>
      </c>
      <c r="H320" s="13">
        <v>-0.01</v>
      </c>
    </row>
    <row r="321">
      <c r="A321" s="18" t="s">
        <v>70</v>
      </c>
      <c r="B321" s="13">
        <v>14.0</v>
      </c>
      <c r="C321" s="13" t="s">
        <v>16</v>
      </c>
      <c r="D321" s="13" t="s">
        <v>1</v>
      </c>
      <c r="E321" s="13">
        <v>0.3</v>
      </c>
      <c r="F321" s="13">
        <v>1.53</v>
      </c>
      <c r="G321" s="13">
        <v>-1.23</v>
      </c>
      <c r="H321" s="13">
        <v>0.0</v>
      </c>
    </row>
    <row r="322">
      <c r="A322" s="18" t="s">
        <v>70</v>
      </c>
      <c r="B322" s="13">
        <v>14.0</v>
      </c>
      <c r="C322" s="13" t="s">
        <v>16</v>
      </c>
      <c r="D322" s="13" t="s">
        <v>2</v>
      </c>
      <c r="E322" s="13">
        <v>0.02</v>
      </c>
      <c r="F322" s="13">
        <v>0.35</v>
      </c>
      <c r="G322" s="13">
        <v>-0.33</v>
      </c>
      <c r="H322" s="13">
        <v>0.0</v>
      </c>
    </row>
    <row r="323">
      <c r="A323" s="18" t="s">
        <v>70</v>
      </c>
      <c r="B323" s="13">
        <v>14.0</v>
      </c>
      <c r="C323" s="13" t="s">
        <v>16</v>
      </c>
      <c r="D323" s="13" t="s">
        <v>3</v>
      </c>
      <c r="E323" s="13">
        <v>5.0E-4</v>
      </c>
      <c r="F323" s="13">
        <v>0.15</v>
      </c>
      <c r="G323" s="13">
        <v>-0.1495</v>
      </c>
      <c r="H323" s="13">
        <v>0.0</v>
      </c>
    </row>
    <row r="324">
      <c r="A324" s="18" t="s">
        <v>70</v>
      </c>
      <c r="B324" s="13">
        <v>14.0</v>
      </c>
      <c r="C324" s="13" t="s">
        <v>16</v>
      </c>
      <c r="D324" s="13" t="s">
        <v>4</v>
      </c>
      <c r="E324" s="13">
        <v>1.0E-4</v>
      </c>
      <c r="F324" s="13">
        <v>0.07</v>
      </c>
      <c r="G324" s="13">
        <v>-0.0699</v>
      </c>
      <c r="H324" s="13">
        <v>0.0</v>
      </c>
    </row>
    <row r="325">
      <c r="A325" s="18" t="s">
        <v>70</v>
      </c>
      <c r="B325" s="13">
        <v>14.0</v>
      </c>
      <c r="C325" s="13" t="s">
        <v>16</v>
      </c>
      <c r="D325" s="13" t="s">
        <v>5</v>
      </c>
      <c r="E325" s="13">
        <v>1.0E-4</v>
      </c>
      <c r="F325" s="13">
        <v>0.03</v>
      </c>
      <c r="G325" s="13">
        <v>-0.0299</v>
      </c>
      <c r="H325" s="13">
        <v>0.0</v>
      </c>
    </row>
    <row r="326">
      <c r="A326" s="18" t="s">
        <v>71</v>
      </c>
      <c r="B326" s="13">
        <v>14.0</v>
      </c>
      <c r="C326" s="13" t="s">
        <v>18</v>
      </c>
      <c r="D326" s="13" t="s">
        <v>0</v>
      </c>
      <c r="E326" s="13">
        <v>7.0</v>
      </c>
      <c r="F326" s="13">
        <v>4.78</v>
      </c>
      <c r="G326" s="13">
        <v>2.22</v>
      </c>
      <c r="H326" s="13">
        <v>0.16</v>
      </c>
    </row>
    <row r="327">
      <c r="A327" s="18" t="s">
        <v>71</v>
      </c>
      <c r="B327" s="13">
        <v>14.0</v>
      </c>
      <c r="C327" s="13" t="s">
        <v>18</v>
      </c>
      <c r="D327" s="13" t="s">
        <v>1</v>
      </c>
      <c r="E327" s="13">
        <v>0.8</v>
      </c>
      <c r="F327" s="13">
        <v>1.38</v>
      </c>
      <c r="G327" s="13">
        <v>-0.58</v>
      </c>
      <c r="H327" s="13">
        <v>0.0</v>
      </c>
    </row>
    <row r="328">
      <c r="A328" s="18" t="s">
        <v>71</v>
      </c>
      <c r="B328" s="13">
        <v>14.0</v>
      </c>
      <c r="C328" s="13" t="s">
        <v>18</v>
      </c>
      <c r="D328" s="13" t="s">
        <v>2</v>
      </c>
      <c r="E328" s="13">
        <v>0.04</v>
      </c>
      <c r="F328" s="13">
        <v>0.41</v>
      </c>
      <c r="G328" s="13">
        <v>-0.37</v>
      </c>
      <c r="H328" s="13">
        <v>0.0</v>
      </c>
    </row>
    <row r="329">
      <c r="A329" s="18" t="s">
        <v>71</v>
      </c>
      <c r="B329" s="13">
        <v>14.0</v>
      </c>
      <c r="C329" s="13" t="s">
        <v>18</v>
      </c>
      <c r="D329" s="13" t="s">
        <v>3</v>
      </c>
      <c r="E329" s="13">
        <v>0.002</v>
      </c>
      <c r="F329" s="13">
        <v>0.16</v>
      </c>
      <c r="G329" s="13">
        <v>-0.158</v>
      </c>
      <c r="H329" s="13">
        <v>0.0</v>
      </c>
    </row>
    <row r="330">
      <c r="A330" s="18" t="s">
        <v>71</v>
      </c>
      <c r="B330" s="13">
        <v>14.0</v>
      </c>
      <c r="C330" s="13" t="s">
        <v>18</v>
      </c>
      <c r="D330" s="13" t="s">
        <v>4</v>
      </c>
      <c r="E330" s="13">
        <v>1.0E-4</v>
      </c>
      <c r="F330" s="13">
        <v>0.07</v>
      </c>
      <c r="G330" s="13">
        <v>-0.0699</v>
      </c>
      <c r="H330" s="13">
        <v>0.0</v>
      </c>
    </row>
    <row r="331">
      <c r="A331" s="18" t="s">
        <v>71</v>
      </c>
      <c r="B331" s="13">
        <v>14.0</v>
      </c>
      <c r="C331" s="13" t="s">
        <v>18</v>
      </c>
      <c r="D331" s="13" t="s">
        <v>5</v>
      </c>
      <c r="E331" s="13">
        <v>1.0E-4</v>
      </c>
      <c r="F331" s="13">
        <v>0.04</v>
      </c>
      <c r="G331" s="13">
        <v>-0.0399</v>
      </c>
      <c r="H331" s="13">
        <v>0.0</v>
      </c>
    </row>
    <row r="332">
      <c r="A332" s="18" t="s">
        <v>72</v>
      </c>
      <c r="B332" s="13">
        <v>14.0</v>
      </c>
      <c r="C332" s="13" t="s">
        <v>20</v>
      </c>
      <c r="D332" s="13" t="s">
        <v>0</v>
      </c>
      <c r="E332" s="13">
        <v>3.0</v>
      </c>
      <c r="F332" s="13">
        <v>5.56</v>
      </c>
      <c r="G332" s="13">
        <v>-2.56</v>
      </c>
      <c r="H332" s="13">
        <v>-0.08</v>
      </c>
    </row>
    <row r="333">
      <c r="A333" s="18" t="s">
        <v>72</v>
      </c>
      <c r="B333" s="13">
        <v>14.0</v>
      </c>
      <c r="C333" s="13" t="s">
        <v>20</v>
      </c>
      <c r="D333" s="13" t="s">
        <v>1</v>
      </c>
      <c r="E333" s="13">
        <v>0.4</v>
      </c>
      <c r="F333" s="13">
        <v>1.84</v>
      </c>
      <c r="G333" s="13">
        <v>-1.44</v>
      </c>
      <c r="H333" s="13">
        <v>-0.01</v>
      </c>
    </row>
    <row r="334">
      <c r="A334" s="18" t="s">
        <v>72</v>
      </c>
      <c r="B334" s="13">
        <v>14.0</v>
      </c>
      <c r="C334" s="13" t="s">
        <v>20</v>
      </c>
      <c r="D334" s="13" t="s">
        <v>2</v>
      </c>
      <c r="E334" s="13">
        <v>0.02</v>
      </c>
      <c r="F334" s="13">
        <v>0.74</v>
      </c>
      <c r="G334" s="13">
        <v>-0.72</v>
      </c>
      <c r="H334" s="13">
        <v>0.0</v>
      </c>
    </row>
    <row r="335">
      <c r="A335" s="18" t="s">
        <v>72</v>
      </c>
      <c r="B335" s="13">
        <v>14.0</v>
      </c>
      <c r="C335" s="13" t="s">
        <v>20</v>
      </c>
      <c r="D335" s="13" t="s">
        <v>3</v>
      </c>
      <c r="E335" s="13">
        <v>7.0E-4</v>
      </c>
      <c r="F335" s="13">
        <v>0.46</v>
      </c>
      <c r="G335" s="13">
        <v>-0.4593</v>
      </c>
      <c r="H335" s="13">
        <v>0.0</v>
      </c>
    </row>
    <row r="336">
      <c r="A336" s="18" t="s">
        <v>72</v>
      </c>
      <c r="B336" s="13">
        <v>14.0</v>
      </c>
      <c r="C336" s="13" t="s">
        <v>20</v>
      </c>
      <c r="D336" s="13" t="s">
        <v>4</v>
      </c>
      <c r="E336" s="13">
        <v>1.0E-4</v>
      </c>
      <c r="F336" s="13">
        <v>0.31</v>
      </c>
      <c r="G336" s="13">
        <v>-0.3099</v>
      </c>
      <c r="H336" s="13">
        <v>0.0</v>
      </c>
    </row>
    <row r="337">
      <c r="A337" s="18" t="s">
        <v>72</v>
      </c>
      <c r="B337" s="13">
        <v>14.0</v>
      </c>
      <c r="C337" s="13" t="s">
        <v>20</v>
      </c>
      <c r="D337" s="13" t="s">
        <v>5</v>
      </c>
      <c r="E337" s="13">
        <v>1.0E-4</v>
      </c>
      <c r="F337" s="13">
        <v>0.2</v>
      </c>
      <c r="G337" s="13">
        <v>-0.1999</v>
      </c>
      <c r="H337" s="13">
        <v>0.0</v>
      </c>
    </row>
    <row r="338">
      <c r="A338" s="18" t="s">
        <v>73</v>
      </c>
      <c r="B338" s="13">
        <v>15.0</v>
      </c>
      <c r="C338" s="13" t="s">
        <v>14</v>
      </c>
      <c r="D338" s="13" t="s">
        <v>0</v>
      </c>
      <c r="E338" s="13">
        <v>4.2</v>
      </c>
      <c r="F338" s="13">
        <v>2.65</v>
      </c>
      <c r="G338" s="13">
        <v>1.55</v>
      </c>
      <c r="H338" s="13">
        <v>0.07</v>
      </c>
    </row>
    <row r="339">
      <c r="A339" s="18" t="s">
        <v>73</v>
      </c>
      <c r="B339" s="13">
        <v>15.0</v>
      </c>
      <c r="C339" s="13" t="s">
        <v>14</v>
      </c>
      <c r="D339" s="13" t="s">
        <v>1</v>
      </c>
      <c r="E339" s="13">
        <v>0.5</v>
      </c>
      <c r="F339" s="13">
        <v>0.92</v>
      </c>
      <c r="G339" s="13">
        <v>-0.42</v>
      </c>
      <c r="H339" s="13">
        <v>0.0</v>
      </c>
    </row>
    <row r="340">
      <c r="A340" s="18" t="s">
        <v>73</v>
      </c>
      <c r="B340" s="13">
        <v>15.0</v>
      </c>
      <c r="C340" s="13" t="s">
        <v>14</v>
      </c>
      <c r="D340" s="13" t="s">
        <v>2</v>
      </c>
      <c r="E340" s="13">
        <v>0.02</v>
      </c>
      <c r="F340" s="13">
        <v>0.43</v>
      </c>
      <c r="G340" s="13">
        <v>-0.41</v>
      </c>
      <c r="H340" s="13">
        <v>0.0</v>
      </c>
    </row>
    <row r="341">
      <c r="A341" s="18" t="s">
        <v>73</v>
      </c>
      <c r="B341" s="13">
        <v>15.0</v>
      </c>
      <c r="C341" s="13" t="s">
        <v>14</v>
      </c>
      <c r="D341" s="13" t="s">
        <v>3</v>
      </c>
      <c r="E341" s="13">
        <v>5.0E-4</v>
      </c>
      <c r="F341" s="13">
        <v>0.15</v>
      </c>
      <c r="G341" s="13">
        <v>-0.1495</v>
      </c>
      <c r="H341" s="13">
        <v>0.0</v>
      </c>
    </row>
    <row r="342">
      <c r="A342" s="18" t="s">
        <v>73</v>
      </c>
      <c r="B342" s="13">
        <v>15.0</v>
      </c>
      <c r="C342" s="13" t="s">
        <v>14</v>
      </c>
      <c r="D342" s="13" t="s">
        <v>4</v>
      </c>
      <c r="E342" s="13">
        <v>1.0E-4</v>
      </c>
      <c r="F342" s="13">
        <v>0.07</v>
      </c>
      <c r="G342" s="13">
        <v>-0.0699</v>
      </c>
      <c r="H342" s="13">
        <v>0.0</v>
      </c>
    </row>
    <row r="343">
      <c r="A343" s="18" t="s">
        <v>73</v>
      </c>
      <c r="B343" s="13">
        <v>15.0</v>
      </c>
      <c r="C343" s="13" t="s">
        <v>14</v>
      </c>
      <c r="D343" s="13" t="s">
        <v>5</v>
      </c>
      <c r="E343" s="13">
        <v>1.0E-4</v>
      </c>
      <c r="F343" s="13">
        <v>0.03</v>
      </c>
      <c r="G343" s="13">
        <v>-0.0299</v>
      </c>
      <c r="H343" s="13">
        <v>0.0</v>
      </c>
    </row>
    <row r="344">
      <c r="A344" s="18" t="s">
        <v>74</v>
      </c>
      <c r="B344" s="13">
        <v>15.0</v>
      </c>
      <c r="C344" s="13" t="s">
        <v>16</v>
      </c>
      <c r="D344" s="13" t="s">
        <v>0</v>
      </c>
      <c r="E344" s="13">
        <v>2.4</v>
      </c>
      <c r="F344" s="13">
        <v>2.42</v>
      </c>
      <c r="G344" s="13">
        <v>-0.02</v>
      </c>
      <c r="H344" s="13">
        <v>0.0</v>
      </c>
    </row>
    <row r="345">
      <c r="A345" s="18" t="s">
        <v>74</v>
      </c>
      <c r="B345" s="13">
        <v>15.0</v>
      </c>
      <c r="C345" s="13" t="s">
        <v>16</v>
      </c>
      <c r="D345" s="13" t="s">
        <v>1</v>
      </c>
      <c r="E345" s="13">
        <v>0.3</v>
      </c>
      <c r="F345" s="13">
        <v>0.99</v>
      </c>
      <c r="G345" s="13">
        <v>-0.69</v>
      </c>
      <c r="H345" s="13">
        <v>0.0</v>
      </c>
    </row>
    <row r="346">
      <c r="A346" s="18" t="s">
        <v>74</v>
      </c>
      <c r="B346" s="13">
        <v>15.0</v>
      </c>
      <c r="C346" s="13" t="s">
        <v>16</v>
      </c>
      <c r="D346" s="13" t="s">
        <v>2</v>
      </c>
      <c r="E346" s="13">
        <v>0.01</v>
      </c>
      <c r="F346" s="13">
        <v>0.46</v>
      </c>
      <c r="G346" s="13">
        <v>-0.45</v>
      </c>
      <c r="H346" s="13">
        <v>0.0</v>
      </c>
    </row>
    <row r="347">
      <c r="A347" s="18" t="s">
        <v>74</v>
      </c>
      <c r="B347" s="13">
        <v>15.0</v>
      </c>
      <c r="C347" s="13" t="s">
        <v>16</v>
      </c>
      <c r="D347" s="13" t="s">
        <v>3</v>
      </c>
      <c r="E347" s="13">
        <v>2.0E-4</v>
      </c>
      <c r="F347" s="13">
        <v>0.18</v>
      </c>
      <c r="G347" s="13">
        <v>-0.1798</v>
      </c>
      <c r="H347" s="13">
        <v>0.0</v>
      </c>
    </row>
    <row r="348">
      <c r="A348" s="18" t="s">
        <v>74</v>
      </c>
      <c r="B348" s="13">
        <v>15.0</v>
      </c>
      <c r="C348" s="13" t="s">
        <v>16</v>
      </c>
      <c r="D348" s="13" t="s">
        <v>4</v>
      </c>
      <c r="E348" s="13">
        <v>1.0E-4</v>
      </c>
      <c r="F348" s="13">
        <v>0.08</v>
      </c>
      <c r="G348" s="13">
        <v>-0.0799</v>
      </c>
      <c r="H348" s="13">
        <v>0.0</v>
      </c>
    </row>
    <row r="349">
      <c r="A349" s="18" t="s">
        <v>74</v>
      </c>
      <c r="B349" s="13">
        <v>15.0</v>
      </c>
      <c r="C349" s="13" t="s">
        <v>16</v>
      </c>
      <c r="D349" s="13" t="s">
        <v>5</v>
      </c>
      <c r="E349" s="13">
        <v>1.0E-4</v>
      </c>
      <c r="F349" s="13">
        <v>0.03</v>
      </c>
      <c r="G349" s="13">
        <v>-0.0299</v>
      </c>
      <c r="H349" s="13">
        <v>0.0</v>
      </c>
    </row>
    <row r="350">
      <c r="A350" s="18" t="s">
        <v>75</v>
      </c>
      <c r="B350" s="13">
        <v>15.0</v>
      </c>
      <c r="C350" s="13" t="s">
        <v>18</v>
      </c>
      <c r="D350" s="13" t="s">
        <v>0</v>
      </c>
      <c r="E350" s="13">
        <v>1.6</v>
      </c>
      <c r="F350" s="13">
        <v>4.07</v>
      </c>
      <c r="G350" s="13">
        <v>-2.47</v>
      </c>
      <c r="H350" s="13">
        <v>-0.04</v>
      </c>
    </row>
    <row r="351">
      <c r="A351" s="18" t="s">
        <v>75</v>
      </c>
      <c r="B351" s="13">
        <v>15.0</v>
      </c>
      <c r="C351" s="13" t="s">
        <v>18</v>
      </c>
      <c r="D351" s="13" t="s">
        <v>1</v>
      </c>
      <c r="E351" s="13">
        <v>0.1</v>
      </c>
      <c r="F351" s="13">
        <v>1.63</v>
      </c>
      <c r="G351" s="13">
        <v>-1.53</v>
      </c>
      <c r="H351" s="13">
        <v>0.0</v>
      </c>
    </row>
    <row r="352">
      <c r="A352" s="18" t="s">
        <v>75</v>
      </c>
      <c r="B352" s="13">
        <v>15.0</v>
      </c>
      <c r="C352" s="13" t="s">
        <v>18</v>
      </c>
      <c r="D352" s="13" t="s">
        <v>2</v>
      </c>
      <c r="E352" s="13">
        <v>0.005</v>
      </c>
      <c r="F352" s="13">
        <v>0.54</v>
      </c>
      <c r="G352" s="13">
        <v>-0.535</v>
      </c>
      <c r="H352" s="13">
        <v>0.0</v>
      </c>
    </row>
    <row r="353">
      <c r="A353" s="18" t="s">
        <v>75</v>
      </c>
      <c r="B353" s="13">
        <v>15.0</v>
      </c>
      <c r="C353" s="13" t="s">
        <v>18</v>
      </c>
      <c r="D353" s="13" t="s">
        <v>3</v>
      </c>
      <c r="E353" s="13">
        <v>1.0E-4</v>
      </c>
      <c r="F353" s="13">
        <v>0.18</v>
      </c>
      <c r="G353" s="13">
        <v>-0.1799</v>
      </c>
      <c r="H353" s="13">
        <v>0.0</v>
      </c>
    </row>
    <row r="354">
      <c r="A354" s="18" t="s">
        <v>75</v>
      </c>
      <c r="B354" s="13">
        <v>15.0</v>
      </c>
      <c r="C354" s="13" t="s">
        <v>18</v>
      </c>
      <c r="D354" s="13" t="s">
        <v>4</v>
      </c>
      <c r="E354" s="13">
        <v>1.0E-4</v>
      </c>
      <c r="F354" s="13">
        <v>0.08</v>
      </c>
      <c r="G354" s="13">
        <v>-0.0799</v>
      </c>
      <c r="H354" s="13">
        <v>0.0</v>
      </c>
    </row>
    <row r="355">
      <c r="A355" s="18" t="s">
        <v>75</v>
      </c>
      <c r="B355" s="13">
        <v>15.0</v>
      </c>
      <c r="C355" s="13" t="s">
        <v>18</v>
      </c>
      <c r="D355" s="13" t="s">
        <v>5</v>
      </c>
      <c r="E355" s="13">
        <v>1.0E-4</v>
      </c>
      <c r="F355" s="13">
        <v>0.03</v>
      </c>
      <c r="G355" s="13">
        <v>-0.0299</v>
      </c>
      <c r="H355" s="13">
        <v>0.0</v>
      </c>
    </row>
    <row r="356">
      <c r="A356" s="18" t="s">
        <v>76</v>
      </c>
      <c r="B356" s="13">
        <v>15.0</v>
      </c>
      <c r="C356" s="13" t="s">
        <v>20</v>
      </c>
      <c r="D356" s="13" t="s">
        <v>0</v>
      </c>
      <c r="E356" s="13">
        <v>3.1</v>
      </c>
      <c r="F356" s="13">
        <v>2.99</v>
      </c>
      <c r="G356" s="13">
        <v>0.11</v>
      </c>
      <c r="H356" s="13">
        <v>0.0</v>
      </c>
    </row>
    <row r="357">
      <c r="A357" s="18" t="s">
        <v>76</v>
      </c>
      <c r="B357" s="13">
        <v>15.0</v>
      </c>
      <c r="C357" s="13" t="s">
        <v>20</v>
      </c>
      <c r="D357" s="13" t="s">
        <v>1</v>
      </c>
      <c r="E357" s="13">
        <v>0.4</v>
      </c>
      <c r="F357" s="13">
        <v>1.02</v>
      </c>
      <c r="G357" s="13">
        <v>-0.62</v>
      </c>
      <c r="H357" s="13">
        <v>0.0</v>
      </c>
    </row>
    <row r="358">
      <c r="A358" s="18" t="s">
        <v>76</v>
      </c>
      <c r="B358" s="13">
        <v>15.0</v>
      </c>
      <c r="C358" s="13" t="s">
        <v>20</v>
      </c>
      <c r="D358" s="13" t="s">
        <v>2</v>
      </c>
      <c r="E358" s="13">
        <v>0.02</v>
      </c>
      <c r="F358" s="13">
        <v>0.46</v>
      </c>
      <c r="G358" s="13">
        <v>-0.44</v>
      </c>
      <c r="H358" s="13">
        <v>0.0</v>
      </c>
    </row>
    <row r="359">
      <c r="A359" s="18" t="s">
        <v>76</v>
      </c>
      <c r="B359" s="13">
        <v>15.0</v>
      </c>
      <c r="C359" s="13" t="s">
        <v>20</v>
      </c>
      <c r="D359" s="13" t="s">
        <v>3</v>
      </c>
      <c r="E359" s="13">
        <v>0.001</v>
      </c>
      <c r="F359" s="13">
        <v>0.17</v>
      </c>
      <c r="G359" s="13">
        <v>-0.169</v>
      </c>
      <c r="H359" s="13">
        <v>0.0</v>
      </c>
    </row>
    <row r="360">
      <c r="A360" s="18" t="s">
        <v>76</v>
      </c>
      <c r="B360" s="13">
        <v>15.0</v>
      </c>
      <c r="C360" s="13" t="s">
        <v>20</v>
      </c>
      <c r="D360" s="13" t="s">
        <v>4</v>
      </c>
      <c r="E360" s="13">
        <v>1.0E-4</v>
      </c>
      <c r="F360" s="13">
        <v>0.07</v>
      </c>
      <c r="G360" s="13">
        <v>-0.0699</v>
      </c>
      <c r="H360" s="13">
        <v>0.0</v>
      </c>
    </row>
    <row r="361">
      <c r="A361" s="18" t="s">
        <v>76</v>
      </c>
      <c r="B361" s="13">
        <v>15.0</v>
      </c>
      <c r="C361" s="13" t="s">
        <v>20</v>
      </c>
      <c r="D361" s="13" t="s">
        <v>5</v>
      </c>
      <c r="E361" s="13">
        <v>1.0E-4</v>
      </c>
      <c r="F361" s="13">
        <v>0.04</v>
      </c>
      <c r="G361" s="13">
        <v>-0.0399</v>
      </c>
      <c r="H361" s="13">
        <v>0.0</v>
      </c>
    </row>
    <row r="362">
      <c r="A362" s="18" t="s">
        <v>77</v>
      </c>
      <c r="B362" s="13">
        <v>16.0</v>
      </c>
      <c r="C362" s="13" t="s">
        <v>14</v>
      </c>
      <c r="D362" s="13" t="s">
        <v>0</v>
      </c>
      <c r="E362" s="13">
        <v>0.9</v>
      </c>
      <c r="F362" s="13">
        <v>1.34</v>
      </c>
      <c r="G362" s="13">
        <v>-0.44</v>
      </c>
      <c r="H362" s="13">
        <v>0.0</v>
      </c>
    </row>
    <row r="363">
      <c r="A363" s="18" t="s">
        <v>77</v>
      </c>
      <c r="B363" s="13">
        <v>16.0</v>
      </c>
      <c r="C363" s="13" t="s">
        <v>14</v>
      </c>
      <c r="D363" s="13" t="s">
        <v>1</v>
      </c>
      <c r="E363" s="13">
        <v>0.09</v>
      </c>
      <c r="F363" s="13">
        <v>0.62</v>
      </c>
      <c r="G363" s="13">
        <v>-0.53</v>
      </c>
      <c r="H363" s="13">
        <v>0.0</v>
      </c>
    </row>
    <row r="364">
      <c r="A364" s="18" t="s">
        <v>77</v>
      </c>
      <c r="B364" s="13">
        <v>16.0</v>
      </c>
      <c r="C364" s="13" t="s">
        <v>14</v>
      </c>
      <c r="D364" s="13" t="s">
        <v>2</v>
      </c>
      <c r="E364" s="13">
        <v>0.006</v>
      </c>
      <c r="F364" s="13">
        <v>0.33</v>
      </c>
      <c r="G364" s="13">
        <v>-0.324</v>
      </c>
      <c r="H364" s="13">
        <v>0.0</v>
      </c>
    </row>
    <row r="365">
      <c r="A365" s="18" t="s">
        <v>77</v>
      </c>
      <c r="B365" s="13">
        <v>16.0</v>
      </c>
      <c r="C365" s="13" t="s">
        <v>14</v>
      </c>
      <c r="D365" s="13" t="s">
        <v>3</v>
      </c>
      <c r="E365" s="13">
        <v>1.0E-4</v>
      </c>
      <c r="F365" s="13">
        <v>0.2</v>
      </c>
      <c r="G365" s="13">
        <v>-0.1999</v>
      </c>
      <c r="H365" s="13">
        <v>0.0</v>
      </c>
    </row>
    <row r="366">
      <c r="A366" s="18" t="s">
        <v>77</v>
      </c>
      <c r="B366" s="13">
        <v>16.0</v>
      </c>
      <c r="C366" s="13" t="s">
        <v>14</v>
      </c>
      <c r="D366" s="13" t="s">
        <v>4</v>
      </c>
      <c r="E366" s="13">
        <v>1.0E-4</v>
      </c>
      <c r="F366" s="13">
        <v>0.1</v>
      </c>
      <c r="G366" s="13">
        <v>-0.0999</v>
      </c>
      <c r="H366" s="13">
        <v>0.0</v>
      </c>
    </row>
    <row r="367">
      <c r="A367" s="18" t="s">
        <v>77</v>
      </c>
      <c r="B367" s="13">
        <v>16.0</v>
      </c>
      <c r="C367" s="13" t="s">
        <v>14</v>
      </c>
      <c r="D367" s="13" t="s">
        <v>5</v>
      </c>
      <c r="E367" s="13">
        <v>1.0E-4</v>
      </c>
      <c r="F367" s="13">
        <v>0.05</v>
      </c>
      <c r="G367" s="13">
        <v>-0.0499</v>
      </c>
      <c r="H367" s="13">
        <v>0.0</v>
      </c>
    </row>
    <row r="368">
      <c r="A368" s="18" t="s">
        <v>78</v>
      </c>
      <c r="B368" s="13">
        <v>16.0</v>
      </c>
      <c r="C368" s="13" t="s">
        <v>16</v>
      </c>
      <c r="D368" s="13" t="s">
        <v>0</v>
      </c>
      <c r="E368" s="13">
        <v>0.4</v>
      </c>
      <c r="F368" s="13">
        <v>1.58</v>
      </c>
      <c r="G368" s="13">
        <v>-1.18</v>
      </c>
      <c r="H368" s="13">
        <v>0.0</v>
      </c>
    </row>
    <row r="369">
      <c r="A369" s="18" t="s">
        <v>78</v>
      </c>
      <c r="B369" s="13">
        <v>16.0</v>
      </c>
      <c r="C369" s="13" t="s">
        <v>16</v>
      </c>
      <c r="D369" s="13" t="s">
        <v>1</v>
      </c>
      <c r="E369" s="13">
        <v>0.03</v>
      </c>
      <c r="F369" s="13">
        <v>0.72</v>
      </c>
      <c r="G369" s="13">
        <v>-0.69</v>
      </c>
      <c r="H369" s="13">
        <v>0.0</v>
      </c>
    </row>
    <row r="370">
      <c r="A370" s="18" t="s">
        <v>78</v>
      </c>
      <c r="B370" s="13">
        <v>16.0</v>
      </c>
      <c r="C370" s="13" t="s">
        <v>16</v>
      </c>
      <c r="D370" s="13" t="s">
        <v>2</v>
      </c>
      <c r="E370" s="13">
        <v>0.001</v>
      </c>
      <c r="F370" s="13">
        <v>0.39</v>
      </c>
      <c r="G370" s="13">
        <v>-0.389</v>
      </c>
      <c r="H370" s="13">
        <v>0.0</v>
      </c>
    </row>
    <row r="371">
      <c r="A371" s="18" t="s">
        <v>78</v>
      </c>
      <c r="B371" s="13">
        <v>16.0</v>
      </c>
      <c r="C371" s="13" t="s">
        <v>16</v>
      </c>
      <c r="D371" s="13" t="s">
        <v>3</v>
      </c>
      <c r="E371" s="13">
        <v>1.0E-4</v>
      </c>
      <c r="F371" s="13">
        <v>0.23</v>
      </c>
      <c r="G371" s="13">
        <v>-0.2299</v>
      </c>
      <c r="H371" s="13">
        <v>0.0</v>
      </c>
    </row>
    <row r="372">
      <c r="A372" s="18" t="s">
        <v>78</v>
      </c>
      <c r="B372" s="13">
        <v>16.0</v>
      </c>
      <c r="C372" s="13" t="s">
        <v>16</v>
      </c>
      <c r="D372" s="13" t="s">
        <v>4</v>
      </c>
      <c r="E372" s="13">
        <v>1.0E-4</v>
      </c>
      <c r="F372" s="13">
        <v>0.11</v>
      </c>
      <c r="G372" s="13">
        <v>-0.1099</v>
      </c>
      <c r="H372" s="13">
        <v>0.0</v>
      </c>
    </row>
    <row r="373">
      <c r="A373" s="18" t="s">
        <v>78</v>
      </c>
      <c r="B373" s="13">
        <v>16.0</v>
      </c>
      <c r="C373" s="13" t="s">
        <v>16</v>
      </c>
      <c r="D373" s="13" t="s">
        <v>5</v>
      </c>
      <c r="E373" s="13">
        <v>1.0E-4</v>
      </c>
      <c r="F373" s="13">
        <v>0.05</v>
      </c>
      <c r="G373" s="13">
        <v>-0.0499</v>
      </c>
      <c r="H373" s="13">
        <v>0.0</v>
      </c>
    </row>
    <row r="374">
      <c r="A374" s="18" t="s">
        <v>79</v>
      </c>
      <c r="B374" s="13">
        <v>16.0</v>
      </c>
      <c r="C374" s="13" t="s">
        <v>18</v>
      </c>
      <c r="D374" s="13" t="s">
        <v>0</v>
      </c>
      <c r="E374" s="13">
        <v>0.3</v>
      </c>
      <c r="F374" s="13">
        <v>1.49</v>
      </c>
      <c r="G374" s="13">
        <v>-1.19</v>
      </c>
      <c r="H374" s="13">
        <v>0.0</v>
      </c>
    </row>
    <row r="375">
      <c r="A375" s="18" t="s">
        <v>79</v>
      </c>
      <c r="B375" s="13">
        <v>16.0</v>
      </c>
      <c r="C375" s="13" t="s">
        <v>18</v>
      </c>
      <c r="D375" s="13" t="s">
        <v>1</v>
      </c>
      <c r="E375" s="13">
        <v>0.02</v>
      </c>
      <c r="F375" s="13">
        <v>0.69</v>
      </c>
      <c r="G375" s="13">
        <v>-0.67</v>
      </c>
      <c r="H375" s="13">
        <v>0.0</v>
      </c>
    </row>
    <row r="376">
      <c r="A376" s="18" t="s">
        <v>79</v>
      </c>
      <c r="B376" s="13">
        <v>16.0</v>
      </c>
      <c r="C376" s="13" t="s">
        <v>18</v>
      </c>
      <c r="D376" s="13" t="s">
        <v>2</v>
      </c>
      <c r="E376" s="13">
        <v>2.0E-4</v>
      </c>
      <c r="F376" s="13">
        <v>0.36</v>
      </c>
      <c r="G376" s="13">
        <v>-0.3598</v>
      </c>
      <c r="H376" s="13">
        <v>0.0</v>
      </c>
    </row>
    <row r="377">
      <c r="A377" s="18" t="s">
        <v>79</v>
      </c>
      <c r="B377" s="13">
        <v>16.0</v>
      </c>
      <c r="C377" s="13" t="s">
        <v>18</v>
      </c>
      <c r="D377" s="13" t="s">
        <v>3</v>
      </c>
      <c r="E377" s="13">
        <v>1.0E-4</v>
      </c>
      <c r="F377" s="13">
        <v>0.2</v>
      </c>
      <c r="G377" s="13">
        <v>-0.1999</v>
      </c>
      <c r="H377" s="13">
        <v>0.0</v>
      </c>
    </row>
    <row r="378">
      <c r="A378" s="18" t="s">
        <v>79</v>
      </c>
      <c r="B378" s="13">
        <v>16.0</v>
      </c>
      <c r="C378" s="13" t="s">
        <v>18</v>
      </c>
      <c r="D378" s="13" t="s">
        <v>4</v>
      </c>
      <c r="E378" s="13">
        <v>1.0E-4</v>
      </c>
      <c r="F378" s="13">
        <v>0.09</v>
      </c>
      <c r="G378" s="13">
        <v>-0.0899</v>
      </c>
      <c r="H378" s="13">
        <v>0.0</v>
      </c>
    </row>
    <row r="379">
      <c r="A379" s="18" t="s">
        <v>79</v>
      </c>
      <c r="B379" s="13">
        <v>16.0</v>
      </c>
      <c r="C379" s="13" t="s">
        <v>18</v>
      </c>
      <c r="D379" s="13" t="s">
        <v>5</v>
      </c>
      <c r="E379" s="13">
        <v>1.0E-4</v>
      </c>
      <c r="F379" s="13">
        <v>0.04</v>
      </c>
      <c r="G379" s="13">
        <v>-0.0399</v>
      </c>
      <c r="H379" s="13">
        <v>0.0</v>
      </c>
    </row>
    <row r="380">
      <c r="A380" s="18" t="s">
        <v>80</v>
      </c>
      <c r="B380" s="13">
        <v>16.0</v>
      </c>
      <c r="C380" s="13" t="s">
        <v>20</v>
      </c>
      <c r="D380" s="13" t="s">
        <v>0</v>
      </c>
      <c r="E380" s="13">
        <v>0.09</v>
      </c>
      <c r="F380" s="13">
        <v>1.38</v>
      </c>
      <c r="G380" s="13">
        <v>-1.29</v>
      </c>
      <c r="H380" s="13">
        <v>0.0</v>
      </c>
    </row>
    <row r="381">
      <c r="A381" s="18" t="s">
        <v>80</v>
      </c>
      <c r="B381" s="13">
        <v>16.0</v>
      </c>
      <c r="C381" s="13" t="s">
        <v>20</v>
      </c>
      <c r="D381" s="13" t="s">
        <v>1</v>
      </c>
      <c r="E381" s="13">
        <v>0.004</v>
      </c>
      <c r="F381" s="13">
        <v>0.61</v>
      </c>
      <c r="G381" s="13">
        <v>-0.606</v>
      </c>
      <c r="H381" s="13">
        <v>0.0</v>
      </c>
    </row>
    <row r="382">
      <c r="A382" s="18" t="s">
        <v>80</v>
      </c>
      <c r="B382" s="13">
        <v>16.0</v>
      </c>
      <c r="C382" s="13" t="s">
        <v>20</v>
      </c>
      <c r="D382" s="13" t="s">
        <v>2</v>
      </c>
      <c r="E382" s="13">
        <v>1.0E-4</v>
      </c>
      <c r="F382" s="13">
        <v>0.33</v>
      </c>
      <c r="G382" s="13">
        <v>-0.3299</v>
      </c>
      <c r="H382" s="13">
        <v>0.0</v>
      </c>
    </row>
    <row r="383">
      <c r="A383" s="18" t="s">
        <v>80</v>
      </c>
      <c r="B383" s="13">
        <v>16.0</v>
      </c>
      <c r="C383" s="13" t="s">
        <v>20</v>
      </c>
      <c r="D383" s="13" t="s">
        <v>3</v>
      </c>
      <c r="E383" s="13">
        <v>1.0E-4</v>
      </c>
      <c r="F383" s="13">
        <v>0.19</v>
      </c>
      <c r="G383" s="13">
        <v>-0.1899</v>
      </c>
      <c r="H383" s="13">
        <v>0.0</v>
      </c>
    </row>
    <row r="384">
      <c r="A384" s="18" t="s">
        <v>80</v>
      </c>
      <c r="B384" s="13">
        <v>16.0</v>
      </c>
      <c r="C384" s="13" t="s">
        <v>20</v>
      </c>
      <c r="D384" s="13" t="s">
        <v>4</v>
      </c>
      <c r="E384" s="13">
        <v>1.0E-4</v>
      </c>
      <c r="F384" s="13">
        <v>0.08</v>
      </c>
      <c r="G384" s="13">
        <v>-0.0799</v>
      </c>
      <c r="H384" s="13">
        <v>0.0</v>
      </c>
    </row>
    <row r="385">
      <c r="A385" s="18" t="s">
        <v>80</v>
      </c>
      <c r="B385" s="13">
        <v>16.0</v>
      </c>
      <c r="C385" s="13" t="s">
        <v>20</v>
      </c>
      <c r="D385" s="13" t="s">
        <v>5</v>
      </c>
      <c r="E385" s="13">
        <v>1.0E-4</v>
      </c>
      <c r="F385" s="13">
        <v>0.03</v>
      </c>
      <c r="G385" s="13">
        <v>-0.0299</v>
      </c>
      <c r="H385" s="13">
        <v>0.0</v>
      </c>
    </row>
  </sheetData>
  <drawing r:id="rId1"/>
</worksheet>
</file>